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ARTH\OneDrive\Desktop\MEGA_TEMPLATES\"/>
    </mc:Choice>
  </mc:AlternateContent>
  <xr:revisionPtr revIDLastSave="0" documentId="13_ncr:1_{B15EFD1E-BE6F-485F-9467-3A5B036B4196}" xr6:coauthVersionLast="47" xr6:coauthVersionMax="47" xr10:uidLastSave="{00000000-0000-0000-0000-000000000000}"/>
  <bookViews>
    <workbookView xWindow="-98" yWindow="-98" windowWidth="21795" windowHeight="11625" firstSheet="6" activeTab="10" xr2:uid="{00000000-000D-0000-FFFF-FFFF00000000}"/>
  </bookViews>
  <sheets>
    <sheet name="All_Location_Details" sheetId="1" r:id="rId1"/>
    <sheet name="Condenser+Cooler (1 Pass)" sheetId="6" r:id="rId2"/>
    <sheet name="Condenser (2 &amp; 4 Pass)" sheetId="2" r:id="rId3"/>
    <sheet name="Reboiler-NEN" sheetId="4" r:id="rId4"/>
    <sheet name="Reboiler + Cooler" sheetId="5" r:id="rId5"/>
    <sheet name="Super-Heater" sheetId="7" r:id="rId6"/>
    <sheet name="Forced Evaporator " sheetId="8" r:id="rId7"/>
    <sheet name="FF Evaporator" sheetId="9" r:id="rId8"/>
    <sheet name="Column Grid Tray" sheetId="10" r:id="rId9"/>
    <sheet name="Heat Exchanger Data" sheetId="11" r:id="rId10"/>
    <sheet name="Sheet1" sheetId="12" r:id="rId11"/>
  </sheets>
  <definedNames>
    <definedName name="_xlnm._FilterDatabase" localSheetId="0" hidden="1">All_Location_Details!$A$1:$V$532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11" l="1"/>
  <c r="S20" i="11"/>
  <c r="S24" i="11"/>
  <c r="S29" i="11"/>
  <c r="S30" i="11"/>
  <c r="S31" i="11"/>
  <c r="S32" i="11"/>
  <c r="S33" i="11"/>
  <c r="S34" i="11"/>
  <c r="S35" i="11"/>
  <c r="S36" i="11"/>
  <c r="S37" i="11"/>
  <c r="S38" i="11"/>
  <c r="S41" i="11"/>
  <c r="S42" i="11"/>
  <c r="S43" i="11"/>
  <c r="S44" i="11"/>
  <c r="S45" i="11"/>
  <c r="S46" i="11"/>
  <c r="S47" i="11"/>
  <c r="S67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88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78" i="11"/>
  <c r="J79" i="11"/>
  <c r="J80" i="11"/>
  <c r="J81" i="11"/>
  <c r="J82" i="11"/>
  <c r="J83" i="11"/>
  <c r="J84" i="11"/>
  <c r="J85" i="11"/>
  <c r="J86" i="11"/>
  <c r="J87" i="11"/>
  <c r="J7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H78" i="11"/>
  <c r="H79" i="11"/>
  <c r="H80" i="11"/>
  <c r="H81" i="11"/>
  <c r="H82" i="11"/>
  <c r="H83" i="11"/>
  <c r="H84" i="11"/>
  <c r="H85" i="11"/>
  <c r="H86" i="11"/>
  <c r="H87" i="11"/>
  <c r="H77" i="11"/>
  <c r="H59" i="11"/>
  <c r="H60" i="11"/>
  <c r="H61" i="11"/>
  <c r="H62" i="11"/>
  <c r="H63" i="11"/>
  <c r="H64" i="11"/>
  <c r="H65" i="11"/>
  <c r="H66" i="11"/>
  <c r="H67" i="11"/>
  <c r="H58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68" i="11"/>
  <c r="H69" i="11"/>
  <c r="H70" i="11"/>
  <c r="H71" i="11"/>
  <c r="H72" i="11"/>
  <c r="H73" i="11"/>
  <c r="H74" i="11"/>
  <c r="H75" i="11"/>
  <c r="H76" i="11"/>
  <c r="T40" i="11"/>
  <c r="T39" i="11"/>
  <c r="T28" i="11"/>
  <c r="T27" i="11"/>
  <c r="T26" i="11"/>
  <c r="T25" i="11"/>
  <c r="T23" i="11"/>
  <c r="T22" i="11"/>
  <c r="T21" i="11"/>
  <c r="T19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T3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4" i="11"/>
  <c r="H5" i="11"/>
  <c r="H6" i="11"/>
  <c r="H7" i="11"/>
  <c r="H8" i="11"/>
  <c r="H9" i="11"/>
  <c r="H10" i="11"/>
  <c r="H11" i="11"/>
  <c r="H12" i="11"/>
  <c r="H13" i="11"/>
  <c r="H3" i="11"/>
  <c r="J37" i="11"/>
  <c r="J36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E38" i="11"/>
  <c r="AE5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66" i="11"/>
  <c r="AE67" i="11"/>
  <c r="AE68" i="11"/>
  <c r="AE69" i="11"/>
  <c r="AE70" i="11"/>
  <c r="AE71" i="11"/>
  <c r="AE72" i="11"/>
  <c r="AE73" i="11"/>
  <c r="AE74" i="11"/>
  <c r="AE75" i="11"/>
  <c r="AE76" i="11"/>
  <c r="AE77" i="11"/>
  <c r="AE78" i="11"/>
  <c r="AE79" i="11"/>
  <c r="AE80" i="11"/>
  <c r="AE81" i="11"/>
  <c r="AE82" i="11"/>
  <c r="AE83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AD59" i="11"/>
  <c r="AD60" i="11"/>
  <c r="AD61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74" i="11"/>
  <c r="AD75" i="11"/>
  <c r="AD76" i="11"/>
  <c r="AD77" i="11"/>
  <c r="AD78" i="11"/>
  <c r="AD79" i="11"/>
  <c r="AD80" i="11"/>
  <c r="AD81" i="11"/>
  <c r="AD82" i="11"/>
  <c r="AD83" i="11"/>
  <c r="AJ4" i="11"/>
  <c r="AI4" i="11"/>
  <c r="AE4" i="11"/>
  <c r="AD4" i="11"/>
  <c r="I16" i="2" l="1"/>
  <c r="X29" i="2" l="1"/>
  <c r="X28" i="2"/>
  <c r="N78" i="11"/>
  <c r="N79" i="11"/>
  <c r="N80" i="11"/>
  <c r="N81" i="11"/>
  <c r="N82" i="11"/>
  <c r="N83" i="11"/>
  <c r="N84" i="11"/>
  <c r="N85" i="11"/>
  <c r="N86" i="11"/>
  <c r="N87" i="11"/>
  <c r="N77" i="11"/>
  <c r="N69" i="11"/>
  <c r="N70" i="11"/>
  <c r="N71" i="11"/>
  <c r="N72" i="11"/>
  <c r="N73" i="11"/>
  <c r="N74" i="11"/>
  <c r="N75" i="11"/>
  <c r="N76" i="11"/>
  <c r="N68" i="11"/>
  <c r="N59" i="11"/>
  <c r="N60" i="11"/>
  <c r="N61" i="11"/>
  <c r="N62" i="11"/>
  <c r="N63" i="11"/>
  <c r="N64" i="11"/>
  <c r="N65" i="11"/>
  <c r="N66" i="11"/>
  <c r="N67" i="11"/>
  <c r="N58" i="11"/>
  <c r="N49" i="11"/>
  <c r="N50" i="11"/>
  <c r="N51" i="11"/>
  <c r="N52" i="11"/>
  <c r="N53" i="11"/>
  <c r="N54" i="11"/>
  <c r="N55" i="11"/>
  <c r="N56" i="11"/>
  <c r="N57" i="11"/>
  <c r="N48" i="11"/>
  <c r="N39" i="11"/>
  <c r="N40" i="11"/>
  <c r="N41" i="11"/>
  <c r="N42" i="11"/>
  <c r="N43" i="11"/>
  <c r="N44" i="11"/>
  <c r="N45" i="11"/>
  <c r="N46" i="11"/>
  <c r="N47" i="11"/>
  <c r="N38" i="11"/>
  <c r="N29" i="11"/>
  <c r="N30" i="11"/>
  <c r="N31" i="11"/>
  <c r="N32" i="11"/>
  <c r="N33" i="11"/>
  <c r="N34" i="11"/>
  <c r="N35" i="11"/>
  <c r="N28" i="11"/>
  <c r="N16" i="11"/>
  <c r="N15" i="11"/>
  <c r="N14" i="11"/>
  <c r="N4" i="11"/>
  <c r="N5" i="11"/>
  <c r="N6" i="11"/>
  <c r="N7" i="11"/>
  <c r="N8" i="11"/>
  <c r="N9" i="11"/>
  <c r="N10" i="11"/>
  <c r="N11" i="11"/>
  <c r="N12" i="11"/>
  <c r="N13" i="11"/>
  <c r="N17" i="11"/>
  <c r="N18" i="11"/>
  <c r="N19" i="11"/>
  <c r="N20" i="11"/>
  <c r="N21" i="11"/>
  <c r="N22" i="11"/>
  <c r="N23" i="11"/>
  <c r="N24" i="11"/>
  <c r="N25" i="11"/>
  <c r="N26" i="11"/>
  <c r="N27" i="11"/>
  <c r="N36" i="11"/>
  <c r="N3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3" i="11"/>
  <c r="S25" i="2"/>
  <c r="S18" i="2"/>
  <c r="V16" i="2"/>
  <c r="Q16" i="2"/>
  <c r="U15" i="2"/>
  <c r="U14" i="2"/>
  <c r="S227" i="11"/>
  <c r="T227" i="11" s="1"/>
  <c r="Q227" i="11"/>
  <c r="U227" i="11" s="1"/>
  <c r="S226" i="11"/>
  <c r="T226" i="11" s="1"/>
  <c r="Q226" i="11"/>
  <c r="U226" i="11" s="1"/>
  <c r="S225" i="11"/>
  <c r="T225" i="11" s="1"/>
  <c r="Q225" i="11"/>
  <c r="U225" i="11" s="1"/>
  <c r="S224" i="11"/>
  <c r="T224" i="11" s="1"/>
  <c r="Q224" i="11"/>
  <c r="U224" i="11" s="1"/>
  <c r="S223" i="11"/>
  <c r="T223" i="11" s="1"/>
  <c r="Q223" i="11"/>
  <c r="U223" i="11" s="1"/>
  <c r="S222" i="11"/>
  <c r="T222" i="11" s="1"/>
  <c r="Q222" i="11"/>
  <c r="U222" i="11" s="1"/>
  <c r="S221" i="11"/>
  <c r="T221" i="11" s="1"/>
  <c r="Q221" i="11"/>
  <c r="U221" i="11" s="1"/>
  <c r="S220" i="11"/>
  <c r="T220" i="11" s="1"/>
  <c r="Q220" i="11"/>
  <c r="U220" i="11" s="1"/>
  <c r="S219" i="11"/>
  <c r="T219" i="11" s="1"/>
  <c r="Q219" i="11"/>
  <c r="U219" i="11" s="1"/>
  <c r="S218" i="11"/>
  <c r="T218" i="11" s="1"/>
  <c r="Q218" i="11"/>
  <c r="U218" i="11" s="1"/>
  <c r="S217" i="11"/>
  <c r="T217" i="11" s="1"/>
  <c r="Q217" i="11"/>
  <c r="U217" i="11" s="1"/>
  <c r="S216" i="11"/>
  <c r="T216" i="11" s="1"/>
  <c r="Q216" i="11"/>
  <c r="U216" i="11" s="1"/>
  <c r="S215" i="11"/>
  <c r="T215" i="11" s="1"/>
  <c r="Q215" i="11"/>
  <c r="U215" i="11" s="1"/>
  <c r="S214" i="11"/>
  <c r="T214" i="11" s="1"/>
  <c r="Q214" i="11"/>
  <c r="U214" i="11" s="1"/>
  <c r="S213" i="11"/>
  <c r="T213" i="11" s="1"/>
  <c r="Q213" i="11"/>
  <c r="U213" i="11" s="1"/>
  <c r="S212" i="11"/>
  <c r="T212" i="11" s="1"/>
  <c r="Q212" i="11"/>
  <c r="U212" i="11" s="1"/>
  <c r="S211" i="11"/>
  <c r="T211" i="11" s="1"/>
  <c r="Q211" i="11"/>
  <c r="U211" i="11" s="1"/>
  <c r="S210" i="11"/>
  <c r="T210" i="11" s="1"/>
  <c r="Q210" i="11"/>
  <c r="U210" i="11" s="1"/>
  <c r="S209" i="11"/>
  <c r="T209" i="11" s="1"/>
  <c r="Q209" i="11"/>
  <c r="U209" i="11" s="1"/>
  <c r="S208" i="11"/>
  <c r="T208" i="11" s="1"/>
  <c r="Q208" i="11"/>
  <c r="U208" i="11" s="1"/>
  <c r="S207" i="11"/>
  <c r="T207" i="11" s="1"/>
  <c r="Q207" i="11"/>
  <c r="U207" i="11" s="1"/>
  <c r="S206" i="11"/>
  <c r="T206" i="11" s="1"/>
  <c r="Q206" i="11"/>
  <c r="U206" i="11" s="1"/>
  <c r="S205" i="11"/>
  <c r="T205" i="11" s="1"/>
  <c r="Q205" i="11"/>
  <c r="U205" i="11" s="1"/>
  <c r="S204" i="11"/>
  <c r="T204" i="11" s="1"/>
  <c r="Q204" i="11"/>
  <c r="U204" i="11" s="1"/>
  <c r="S203" i="11"/>
  <c r="T203" i="11" s="1"/>
  <c r="Q203" i="11"/>
  <c r="U203" i="11" s="1"/>
  <c r="S202" i="11"/>
  <c r="T202" i="11" s="1"/>
  <c r="Q202" i="11"/>
  <c r="U202" i="11" s="1"/>
  <c r="S201" i="11"/>
  <c r="T201" i="11" s="1"/>
  <c r="Q201" i="11"/>
  <c r="U201" i="11" s="1"/>
  <c r="S200" i="11"/>
  <c r="T200" i="11" s="1"/>
  <c r="Q200" i="11"/>
  <c r="U200" i="11" s="1"/>
  <c r="S199" i="11"/>
  <c r="T199" i="11" s="1"/>
  <c r="Q199" i="11"/>
  <c r="U199" i="11" s="1"/>
  <c r="S198" i="11"/>
  <c r="T198" i="11" s="1"/>
  <c r="Q198" i="11"/>
  <c r="U198" i="11" s="1"/>
  <c r="S197" i="11"/>
  <c r="T197" i="11" s="1"/>
  <c r="Q197" i="11"/>
  <c r="U197" i="11" s="1"/>
  <c r="S196" i="11"/>
  <c r="T196" i="11" s="1"/>
  <c r="Q196" i="11"/>
  <c r="U196" i="11" s="1"/>
  <c r="S195" i="11"/>
  <c r="T195" i="11" s="1"/>
  <c r="Q195" i="11"/>
  <c r="U195" i="11" s="1"/>
  <c r="S194" i="11"/>
  <c r="T194" i="11" s="1"/>
  <c r="Q194" i="11"/>
  <c r="U194" i="11" s="1"/>
  <c r="S193" i="11"/>
  <c r="T193" i="11" s="1"/>
  <c r="Q193" i="11"/>
  <c r="U193" i="11" s="1"/>
  <c r="S192" i="11"/>
  <c r="T192" i="11" s="1"/>
  <c r="Q192" i="11"/>
  <c r="U192" i="11" s="1"/>
  <c r="S191" i="11"/>
  <c r="T191" i="11" s="1"/>
  <c r="Q191" i="11"/>
  <c r="U191" i="11" s="1"/>
  <c r="S190" i="11"/>
  <c r="T190" i="11" s="1"/>
  <c r="Q190" i="11"/>
  <c r="U190" i="11" s="1"/>
  <c r="S189" i="11"/>
  <c r="T189" i="11" s="1"/>
  <c r="Q189" i="11"/>
  <c r="U189" i="11" s="1"/>
  <c r="S188" i="11"/>
  <c r="T188" i="11" s="1"/>
  <c r="Q188" i="11"/>
  <c r="U188" i="11" s="1"/>
  <c r="S187" i="11"/>
  <c r="T187" i="11" s="1"/>
  <c r="Q187" i="11"/>
  <c r="U187" i="11" s="1"/>
  <c r="S186" i="11"/>
  <c r="T186" i="11" s="1"/>
  <c r="Q186" i="11"/>
  <c r="U186" i="11" s="1"/>
  <c r="S185" i="11"/>
  <c r="T185" i="11" s="1"/>
  <c r="Q185" i="11"/>
  <c r="U185" i="11" s="1"/>
  <c r="S184" i="11"/>
  <c r="T184" i="11" s="1"/>
  <c r="Q184" i="11"/>
  <c r="U184" i="11" s="1"/>
  <c r="S183" i="11"/>
  <c r="T183" i="11" s="1"/>
  <c r="Q183" i="11"/>
  <c r="U183" i="11" s="1"/>
  <c r="S182" i="11"/>
  <c r="T182" i="11" s="1"/>
  <c r="Q182" i="11"/>
  <c r="U182" i="11" s="1"/>
  <c r="S181" i="11"/>
  <c r="T181" i="11" s="1"/>
  <c r="Q181" i="11"/>
  <c r="U181" i="11" s="1"/>
  <c r="S180" i="11"/>
  <c r="T180" i="11" s="1"/>
  <c r="Q180" i="11"/>
  <c r="U180" i="11" s="1"/>
  <c r="S179" i="11"/>
  <c r="T179" i="11" s="1"/>
  <c r="Q179" i="11"/>
  <c r="U179" i="11" s="1"/>
  <c r="S178" i="11"/>
  <c r="T178" i="11" s="1"/>
  <c r="Q178" i="11"/>
  <c r="U178" i="11" s="1"/>
  <c r="S177" i="11"/>
  <c r="T177" i="11" s="1"/>
  <c r="Q177" i="11"/>
  <c r="U177" i="11" s="1"/>
  <c r="S176" i="11"/>
  <c r="T176" i="11" s="1"/>
  <c r="Q176" i="11"/>
  <c r="U176" i="11" s="1"/>
  <c r="S175" i="11"/>
  <c r="T175" i="11" s="1"/>
  <c r="Q175" i="11"/>
  <c r="U175" i="11" s="1"/>
  <c r="S174" i="11"/>
  <c r="T174" i="11" s="1"/>
  <c r="Q174" i="11"/>
  <c r="U174" i="11" s="1"/>
  <c r="S173" i="11"/>
  <c r="T173" i="11" s="1"/>
  <c r="Q173" i="11"/>
  <c r="U173" i="11" s="1"/>
  <c r="S172" i="11"/>
  <c r="T172" i="11" s="1"/>
  <c r="Q172" i="11"/>
  <c r="U172" i="11" s="1"/>
  <c r="S171" i="11"/>
  <c r="T171" i="11" s="1"/>
  <c r="Q171" i="11"/>
  <c r="U171" i="11" s="1"/>
  <c r="S170" i="11"/>
  <c r="T170" i="11" s="1"/>
  <c r="Q170" i="11"/>
  <c r="U170" i="11" s="1"/>
  <c r="S169" i="11"/>
  <c r="T169" i="11" s="1"/>
  <c r="Q169" i="11"/>
  <c r="U169" i="11" s="1"/>
  <c r="S168" i="11"/>
  <c r="T168" i="11" s="1"/>
  <c r="Q168" i="11"/>
  <c r="U168" i="11" s="1"/>
  <c r="S167" i="11"/>
  <c r="T167" i="11" s="1"/>
  <c r="Q167" i="11"/>
  <c r="U167" i="11" s="1"/>
  <c r="S166" i="11"/>
  <c r="T166" i="11" s="1"/>
  <c r="Q166" i="11"/>
  <c r="U166" i="11" s="1"/>
  <c r="S165" i="11"/>
  <c r="T165" i="11" s="1"/>
  <c r="Q165" i="11"/>
  <c r="U165" i="11" s="1"/>
  <c r="S164" i="11"/>
  <c r="T164" i="11" s="1"/>
  <c r="Q164" i="11"/>
  <c r="U164" i="11" s="1"/>
  <c r="S163" i="11"/>
  <c r="T163" i="11" s="1"/>
  <c r="Q163" i="11"/>
  <c r="U163" i="11" s="1"/>
  <c r="S162" i="11"/>
  <c r="T162" i="11" s="1"/>
  <c r="Q162" i="11"/>
  <c r="U162" i="11" s="1"/>
  <c r="S161" i="11"/>
  <c r="T161" i="11" s="1"/>
  <c r="Q161" i="11"/>
  <c r="U161" i="11" s="1"/>
  <c r="S160" i="11"/>
  <c r="T160" i="11" s="1"/>
  <c r="Q160" i="11"/>
  <c r="U160" i="11" s="1"/>
  <c r="S159" i="11"/>
  <c r="T159" i="11" s="1"/>
  <c r="Q159" i="11"/>
  <c r="U159" i="11" s="1"/>
  <c r="S158" i="11"/>
  <c r="T158" i="11" s="1"/>
  <c r="Q158" i="11"/>
  <c r="U158" i="11" s="1"/>
  <c r="S157" i="11"/>
  <c r="T157" i="11" s="1"/>
  <c r="Q157" i="11"/>
  <c r="U157" i="11" s="1"/>
  <c r="S156" i="11"/>
  <c r="T156" i="11" s="1"/>
  <c r="Q156" i="11"/>
  <c r="U156" i="11" s="1"/>
  <c r="S155" i="11"/>
  <c r="T155" i="11" s="1"/>
  <c r="Q155" i="11"/>
  <c r="U155" i="11" s="1"/>
  <c r="S154" i="11"/>
  <c r="T154" i="11" s="1"/>
  <c r="Q154" i="11"/>
  <c r="U154" i="11" s="1"/>
  <c r="S153" i="11"/>
  <c r="T153" i="11" s="1"/>
  <c r="Q153" i="11"/>
  <c r="U153" i="11" s="1"/>
  <c r="S152" i="11"/>
  <c r="T152" i="11" s="1"/>
  <c r="Q152" i="11"/>
  <c r="U152" i="11" s="1"/>
  <c r="S151" i="11"/>
  <c r="T151" i="11" s="1"/>
  <c r="Q151" i="11"/>
  <c r="U151" i="11" s="1"/>
  <c r="S150" i="11"/>
  <c r="T150" i="11" s="1"/>
  <c r="Q150" i="11"/>
  <c r="U150" i="11" s="1"/>
  <c r="S149" i="11"/>
  <c r="T149" i="11" s="1"/>
  <c r="Q149" i="11"/>
  <c r="U149" i="11" s="1"/>
  <c r="S148" i="11"/>
  <c r="T148" i="11" s="1"/>
  <c r="Q148" i="11"/>
  <c r="U148" i="11" s="1"/>
  <c r="S147" i="11"/>
  <c r="T147" i="11" s="1"/>
  <c r="Q147" i="11"/>
  <c r="U147" i="11" s="1"/>
  <c r="S146" i="11"/>
  <c r="T146" i="11" s="1"/>
  <c r="Q146" i="11"/>
  <c r="U146" i="11" s="1"/>
  <c r="S145" i="11"/>
  <c r="T145" i="11" s="1"/>
  <c r="Q145" i="11"/>
  <c r="U145" i="11" s="1"/>
  <c r="S144" i="11"/>
  <c r="T144" i="11" s="1"/>
  <c r="Q144" i="11"/>
  <c r="U144" i="11" s="1"/>
  <c r="S143" i="11"/>
  <c r="T143" i="11" s="1"/>
  <c r="Q143" i="11"/>
  <c r="U143" i="11" s="1"/>
  <c r="S142" i="11"/>
  <c r="T142" i="11" s="1"/>
  <c r="Q142" i="11"/>
  <c r="U142" i="11" s="1"/>
  <c r="S141" i="11"/>
  <c r="T141" i="11" s="1"/>
  <c r="Q141" i="11"/>
  <c r="U141" i="11" s="1"/>
  <c r="S140" i="11"/>
  <c r="T140" i="11" s="1"/>
  <c r="Q140" i="11"/>
  <c r="U140" i="11" s="1"/>
  <c r="S139" i="11"/>
  <c r="T139" i="11" s="1"/>
  <c r="Q139" i="11"/>
  <c r="U139" i="11" s="1"/>
  <c r="S138" i="11"/>
  <c r="T138" i="11" s="1"/>
  <c r="Q138" i="11"/>
  <c r="U138" i="11" s="1"/>
  <c r="S137" i="11"/>
  <c r="T137" i="11" s="1"/>
  <c r="Q137" i="11"/>
  <c r="U137" i="11" s="1"/>
  <c r="S136" i="11"/>
  <c r="T136" i="11" s="1"/>
  <c r="Q136" i="11"/>
  <c r="U136" i="11" s="1"/>
  <c r="S135" i="11"/>
  <c r="T135" i="11" s="1"/>
  <c r="Q135" i="11"/>
  <c r="U135" i="11" s="1"/>
  <c r="S134" i="11"/>
  <c r="T134" i="11" s="1"/>
  <c r="Q134" i="11"/>
  <c r="U134" i="11" s="1"/>
  <c r="S133" i="11"/>
  <c r="T133" i="11" s="1"/>
  <c r="Q133" i="11"/>
  <c r="U133" i="11" s="1"/>
  <c r="S132" i="11"/>
  <c r="T132" i="11" s="1"/>
  <c r="Q132" i="11"/>
  <c r="U132" i="11" s="1"/>
  <c r="S131" i="11"/>
  <c r="T131" i="11" s="1"/>
  <c r="Q131" i="11"/>
  <c r="U131" i="11" s="1"/>
  <c r="S130" i="11"/>
  <c r="T130" i="11" s="1"/>
  <c r="Q130" i="11"/>
  <c r="U130" i="11" s="1"/>
  <c r="S129" i="11"/>
  <c r="T129" i="11" s="1"/>
  <c r="Q129" i="11"/>
  <c r="U129" i="11" s="1"/>
  <c r="S128" i="11"/>
  <c r="T128" i="11" s="1"/>
  <c r="Q128" i="11"/>
  <c r="U128" i="11" s="1"/>
  <c r="S127" i="11"/>
  <c r="T127" i="11" s="1"/>
  <c r="Q127" i="11"/>
  <c r="U127" i="11" s="1"/>
  <c r="S126" i="11"/>
  <c r="T126" i="11" s="1"/>
  <c r="Q126" i="11"/>
  <c r="U126" i="11" s="1"/>
  <c r="S125" i="11"/>
  <c r="T125" i="11" s="1"/>
  <c r="Q125" i="11"/>
  <c r="U125" i="11" s="1"/>
  <c r="S124" i="11"/>
  <c r="T124" i="11" s="1"/>
  <c r="Q124" i="11"/>
  <c r="U124" i="11" s="1"/>
  <c r="S123" i="11"/>
  <c r="T123" i="11" s="1"/>
  <c r="Q123" i="11"/>
  <c r="U123" i="11" s="1"/>
  <c r="S122" i="11"/>
  <c r="T122" i="11" s="1"/>
  <c r="Q122" i="11"/>
  <c r="U122" i="11" s="1"/>
  <c r="S121" i="11"/>
  <c r="T121" i="11" s="1"/>
  <c r="Q121" i="11"/>
  <c r="U121" i="11" s="1"/>
  <c r="S120" i="11"/>
  <c r="T120" i="11" s="1"/>
  <c r="Q120" i="11"/>
  <c r="U120" i="11" s="1"/>
  <c r="S119" i="11"/>
  <c r="T119" i="11" s="1"/>
  <c r="Q119" i="11"/>
  <c r="U119" i="11" s="1"/>
  <c r="S118" i="11"/>
  <c r="T118" i="11" s="1"/>
  <c r="Q118" i="11"/>
  <c r="U118" i="11" s="1"/>
  <c r="S117" i="11"/>
  <c r="T117" i="11" s="1"/>
  <c r="Q117" i="11"/>
  <c r="U117" i="11" s="1"/>
  <c r="S116" i="11"/>
  <c r="T116" i="11" s="1"/>
  <c r="Q116" i="11"/>
  <c r="U116" i="11" s="1"/>
  <c r="S115" i="11"/>
  <c r="T115" i="11" s="1"/>
  <c r="Q115" i="11"/>
  <c r="U115" i="11" s="1"/>
  <c r="S114" i="11"/>
  <c r="T114" i="11" s="1"/>
  <c r="Q114" i="11"/>
  <c r="U114" i="11" s="1"/>
  <c r="S113" i="11"/>
  <c r="T113" i="11" s="1"/>
  <c r="Q113" i="11"/>
  <c r="U113" i="11" s="1"/>
  <c r="S112" i="11"/>
  <c r="T112" i="11" s="1"/>
  <c r="Q112" i="11"/>
  <c r="U112" i="11" s="1"/>
  <c r="S111" i="11"/>
  <c r="T111" i="11" s="1"/>
  <c r="Q111" i="11"/>
  <c r="U111" i="11" s="1"/>
  <c r="S110" i="11"/>
  <c r="T110" i="11" s="1"/>
  <c r="Q110" i="11"/>
  <c r="U110" i="11" s="1"/>
  <c r="S109" i="11"/>
  <c r="T109" i="11" s="1"/>
  <c r="Q109" i="11"/>
  <c r="U109" i="11" s="1"/>
  <c r="S108" i="11"/>
  <c r="T108" i="11" s="1"/>
  <c r="Q108" i="11"/>
  <c r="U108" i="11" s="1"/>
  <c r="S107" i="11"/>
  <c r="T107" i="11" s="1"/>
  <c r="Q107" i="11"/>
  <c r="U107" i="11" s="1"/>
  <c r="S106" i="11"/>
  <c r="T106" i="11" s="1"/>
  <c r="Q106" i="11"/>
  <c r="U106" i="11" s="1"/>
  <c r="S105" i="11"/>
  <c r="T105" i="11" s="1"/>
  <c r="Q105" i="11"/>
  <c r="U105" i="11" s="1"/>
  <c r="S104" i="11"/>
  <c r="T104" i="11" s="1"/>
  <c r="Q104" i="11"/>
  <c r="U104" i="11" s="1"/>
  <c r="S103" i="11"/>
  <c r="T103" i="11" s="1"/>
  <c r="Q103" i="11"/>
  <c r="U103" i="11" s="1"/>
  <c r="S102" i="11"/>
  <c r="T102" i="11" s="1"/>
  <c r="Q102" i="11"/>
  <c r="U102" i="11" s="1"/>
  <c r="S101" i="11"/>
  <c r="T101" i="11" s="1"/>
  <c r="Q101" i="11"/>
  <c r="U101" i="11" s="1"/>
  <c r="S100" i="11"/>
  <c r="T100" i="11" s="1"/>
  <c r="Q100" i="11"/>
  <c r="U100" i="11" s="1"/>
  <c r="S99" i="11"/>
  <c r="T99" i="11" s="1"/>
  <c r="Q99" i="11"/>
  <c r="U99" i="11" s="1"/>
  <c r="S98" i="11"/>
  <c r="T98" i="11" s="1"/>
  <c r="Q98" i="11"/>
  <c r="U98" i="11" s="1"/>
  <c r="S97" i="11"/>
  <c r="T97" i="11" s="1"/>
  <c r="Q97" i="11"/>
  <c r="U97" i="11" s="1"/>
  <c r="S96" i="11"/>
  <c r="T96" i="11" s="1"/>
  <c r="Q96" i="11"/>
  <c r="U96" i="11" s="1"/>
  <c r="S95" i="11"/>
  <c r="T95" i="11" s="1"/>
  <c r="Q95" i="11"/>
  <c r="U95" i="11" s="1"/>
  <c r="S94" i="11"/>
  <c r="T94" i="11" s="1"/>
  <c r="Q94" i="11"/>
  <c r="U94" i="11" s="1"/>
  <c r="S93" i="11"/>
  <c r="T93" i="11" s="1"/>
  <c r="Q93" i="11"/>
  <c r="U93" i="11" s="1"/>
  <c r="S92" i="11"/>
  <c r="T92" i="11" s="1"/>
  <c r="Q92" i="11"/>
  <c r="U92" i="11" s="1"/>
  <c r="S91" i="11"/>
  <c r="T91" i="11" s="1"/>
  <c r="Q91" i="11"/>
  <c r="U91" i="11" s="1"/>
  <c r="S90" i="11"/>
  <c r="T90" i="11" s="1"/>
  <c r="Q90" i="11"/>
  <c r="U90" i="11" s="1"/>
  <c r="S89" i="11"/>
  <c r="T89" i="11" s="1"/>
  <c r="Q89" i="11"/>
  <c r="U89" i="11" s="1"/>
  <c r="S88" i="11"/>
  <c r="T88" i="11" s="1"/>
  <c r="Q88" i="11"/>
  <c r="U88" i="11" s="1"/>
  <c r="Q87" i="11"/>
  <c r="U87" i="11" s="1"/>
  <c r="R87" i="11" s="1"/>
  <c r="S87" i="11" s="1"/>
  <c r="T87" i="11" s="1"/>
  <c r="Q86" i="11"/>
  <c r="U86" i="11" s="1"/>
  <c r="R86" i="11" s="1"/>
  <c r="S86" i="11" s="1"/>
  <c r="T86" i="11" s="1"/>
  <c r="Q85" i="11"/>
  <c r="U85" i="11" s="1"/>
  <c r="R85" i="11" s="1"/>
  <c r="S85" i="11" s="1"/>
  <c r="T85" i="11" s="1"/>
  <c r="Q84" i="11"/>
  <c r="U84" i="11" s="1"/>
  <c r="R84" i="11" s="1"/>
  <c r="S84" i="11" s="1"/>
  <c r="T84" i="11" s="1"/>
  <c r="Q83" i="11"/>
  <c r="U83" i="11" s="1"/>
  <c r="R83" i="11" s="1"/>
  <c r="S83" i="11" s="1"/>
  <c r="T83" i="11" s="1"/>
  <c r="Q82" i="11"/>
  <c r="U82" i="11" s="1"/>
  <c r="R82" i="11" s="1"/>
  <c r="S82" i="11" s="1"/>
  <c r="T82" i="11" s="1"/>
  <c r="Q81" i="11"/>
  <c r="U81" i="11" s="1"/>
  <c r="R81" i="11" s="1"/>
  <c r="S81" i="11" s="1"/>
  <c r="T81" i="11" s="1"/>
  <c r="Q80" i="11"/>
  <c r="U80" i="11" s="1"/>
  <c r="R80" i="11" s="1"/>
  <c r="S80" i="11" s="1"/>
  <c r="T80" i="11" s="1"/>
  <c r="Q79" i="11"/>
  <c r="U79" i="11" s="1"/>
  <c r="R79" i="11" s="1"/>
  <c r="S79" i="11" s="1"/>
  <c r="T79" i="11" s="1"/>
  <c r="Q78" i="11"/>
  <c r="U78" i="11" s="1"/>
  <c r="R78" i="11" s="1"/>
  <c r="S78" i="11" s="1"/>
  <c r="T78" i="11" s="1"/>
  <c r="S77" i="11"/>
  <c r="T77" i="11" s="1"/>
  <c r="Q77" i="11"/>
  <c r="U77" i="11" s="1"/>
  <c r="S76" i="11"/>
  <c r="T76" i="11" s="1"/>
  <c r="Q76" i="11"/>
  <c r="U76" i="11" s="1"/>
  <c r="S75" i="11"/>
  <c r="T75" i="11" s="1"/>
  <c r="Q75" i="11"/>
  <c r="U75" i="11" s="1"/>
  <c r="S74" i="11"/>
  <c r="T74" i="11" s="1"/>
  <c r="Q74" i="11"/>
  <c r="U74" i="11" s="1"/>
  <c r="S73" i="11"/>
  <c r="T73" i="11" s="1"/>
  <c r="Q73" i="11"/>
  <c r="U73" i="11" s="1"/>
  <c r="S72" i="11"/>
  <c r="T72" i="11" s="1"/>
  <c r="Q72" i="11"/>
  <c r="U72" i="11" s="1"/>
  <c r="S71" i="11"/>
  <c r="T71" i="11" s="1"/>
  <c r="Q71" i="11"/>
  <c r="U71" i="11" s="1"/>
  <c r="S70" i="11"/>
  <c r="T70" i="11" s="1"/>
  <c r="Q70" i="11"/>
  <c r="U70" i="11" s="1"/>
  <c r="S69" i="11"/>
  <c r="T69" i="11" s="1"/>
  <c r="Q69" i="11"/>
  <c r="U69" i="11" s="1"/>
  <c r="S68" i="11"/>
  <c r="T68" i="11" s="1"/>
  <c r="Q68" i="11"/>
  <c r="U68" i="11" s="1"/>
  <c r="T67" i="11"/>
  <c r="Q67" i="11"/>
  <c r="U67" i="11" s="1"/>
  <c r="Q66" i="11"/>
  <c r="U66" i="11" s="1"/>
  <c r="R66" i="11" s="1"/>
  <c r="Q65" i="11"/>
  <c r="U65" i="11" s="1"/>
  <c r="R65" i="11" s="1"/>
  <c r="Q64" i="11"/>
  <c r="U64" i="11" s="1"/>
  <c r="R64" i="11" s="1"/>
  <c r="Q63" i="11"/>
  <c r="U63" i="11" s="1"/>
  <c r="R63" i="11" s="1"/>
  <c r="Q62" i="11"/>
  <c r="U62" i="11" s="1"/>
  <c r="R62" i="11" s="1"/>
  <c r="Q61" i="11"/>
  <c r="U61" i="11" s="1"/>
  <c r="R61" i="11" s="1"/>
  <c r="Q60" i="11"/>
  <c r="U60" i="11" s="1"/>
  <c r="R60" i="11" s="1"/>
  <c r="Q59" i="11"/>
  <c r="U59" i="11" s="1"/>
  <c r="R59" i="11" s="1"/>
  <c r="Q58" i="11"/>
  <c r="U58" i="11" s="1"/>
  <c r="R58" i="11" s="1"/>
  <c r="Q57" i="11"/>
  <c r="U57" i="11" s="1"/>
  <c r="R57" i="11" s="1"/>
  <c r="Q56" i="11"/>
  <c r="U56" i="11" s="1"/>
  <c r="R56" i="11" s="1"/>
  <c r="Q55" i="11"/>
  <c r="U55" i="11" s="1"/>
  <c r="R55" i="11" s="1"/>
  <c r="Q54" i="11"/>
  <c r="U54" i="11" s="1"/>
  <c r="R54" i="11" s="1"/>
  <c r="Q53" i="11"/>
  <c r="U53" i="11" s="1"/>
  <c r="R53" i="11" s="1"/>
  <c r="Q52" i="11"/>
  <c r="U52" i="11" s="1"/>
  <c r="R52" i="11" s="1"/>
  <c r="Q51" i="11"/>
  <c r="U51" i="11" s="1"/>
  <c r="R51" i="11" s="1"/>
  <c r="Q50" i="11"/>
  <c r="U50" i="11" s="1"/>
  <c r="R50" i="11" s="1"/>
  <c r="U49" i="11"/>
  <c r="R49" i="11"/>
  <c r="U48" i="11"/>
  <c r="R48" i="11"/>
  <c r="T47" i="11"/>
  <c r="Q47" i="11"/>
  <c r="T46" i="11"/>
  <c r="Q46" i="11"/>
  <c r="T45" i="11"/>
  <c r="Q45" i="11"/>
  <c r="T44" i="11"/>
  <c r="Q44" i="11"/>
  <c r="T43" i="11"/>
  <c r="Q43" i="11"/>
  <c r="T42" i="11"/>
  <c r="Q42" i="11"/>
  <c r="T41" i="11"/>
  <c r="Q41" i="11"/>
  <c r="Q40" i="11"/>
  <c r="Q39" i="11"/>
  <c r="T38" i="11"/>
  <c r="Q38" i="11"/>
  <c r="T37" i="11"/>
  <c r="Q37" i="11"/>
  <c r="U36" i="11"/>
  <c r="T36" i="11"/>
  <c r="T35" i="11"/>
  <c r="T34" i="11"/>
  <c r="Q34" i="11"/>
  <c r="T33" i="11"/>
  <c r="Q33" i="11"/>
  <c r="T32" i="11"/>
  <c r="Q32" i="11"/>
  <c r="T31" i="11"/>
  <c r="Q31" i="11"/>
  <c r="T30" i="11"/>
  <c r="Q30" i="11"/>
  <c r="T29" i="11"/>
  <c r="Q29" i="11"/>
  <c r="Q28" i="11"/>
  <c r="Q27" i="11"/>
  <c r="Q26" i="11"/>
  <c r="Q25" i="11"/>
  <c r="T24" i="11"/>
  <c r="Q24" i="11"/>
  <c r="Q23" i="11"/>
  <c r="Q22" i="11"/>
  <c r="Q21" i="11"/>
  <c r="T20" i="11"/>
  <c r="Q20" i="11"/>
  <c r="Q19" i="11"/>
  <c r="T18" i="11"/>
  <c r="Q18" i="11"/>
  <c r="Q17" i="11"/>
  <c r="R16" i="11"/>
  <c r="Q16" i="11"/>
  <c r="Q15" i="11"/>
  <c r="Q14" i="11"/>
  <c r="Q13" i="11"/>
  <c r="Q12" i="11"/>
  <c r="Q11" i="11"/>
  <c r="Q10" i="11"/>
  <c r="U10" i="11" s="1"/>
  <c r="R10" i="11" s="1"/>
  <c r="R9" i="11"/>
  <c r="Q9" i="11"/>
  <c r="Q8" i="11"/>
  <c r="Q7" i="11"/>
  <c r="Q6" i="11"/>
  <c r="Q2" i="2"/>
  <c r="P2" i="2" s="1"/>
  <c r="J2" i="2" s="1"/>
  <c r="J4" i="2" s="1"/>
  <c r="S48" i="11" l="1"/>
  <c r="T48" i="11" s="1"/>
  <c r="S49" i="11"/>
  <c r="T49" i="11" s="1"/>
  <c r="S50" i="11"/>
  <c r="T50" i="11" s="1"/>
  <c r="S51" i="11"/>
  <c r="T51" i="11" s="1"/>
  <c r="S52" i="11"/>
  <c r="T52" i="11" s="1"/>
  <c r="S53" i="11"/>
  <c r="T53" i="11" s="1"/>
  <c r="S54" i="11"/>
  <c r="T54" i="11" s="1"/>
  <c r="S55" i="11"/>
  <c r="T55" i="11" s="1"/>
  <c r="S56" i="11"/>
  <c r="T56" i="11" s="1"/>
  <c r="S57" i="11"/>
  <c r="T57" i="11" s="1"/>
  <c r="S58" i="11"/>
  <c r="T58" i="11" s="1"/>
  <c r="S59" i="11"/>
  <c r="T59" i="11" s="1"/>
  <c r="S60" i="11"/>
  <c r="T60" i="11" s="1"/>
  <c r="S61" i="11"/>
  <c r="T61" i="11" s="1"/>
  <c r="S62" i="11"/>
  <c r="T62" i="11" s="1"/>
  <c r="S63" i="11"/>
  <c r="T63" i="11" s="1"/>
  <c r="S64" i="11"/>
  <c r="T64" i="11" s="1"/>
  <c r="S65" i="11"/>
  <c r="T65" i="11" s="1"/>
  <c r="S66" i="11"/>
  <c r="T66" i="11" s="1"/>
  <c r="S16" i="2"/>
  <c r="X16" i="2" s="1"/>
  <c r="I20" i="2"/>
  <c r="Q17" i="2" l="1"/>
  <c r="U12" i="2" s="1"/>
  <c r="Q24" i="2"/>
  <c r="S21" i="2"/>
  <c r="S22" i="2" s="1"/>
  <c r="Q32" i="2"/>
  <c r="I19" i="2"/>
  <c r="Q31" i="2"/>
  <c r="U30" i="2"/>
  <c r="U31" i="2" s="1"/>
  <c r="P32" i="2"/>
  <c r="U32" i="2"/>
  <c r="Q12" i="2"/>
  <c r="P17" i="2"/>
  <c r="V24" i="2" s="1"/>
  <c r="P30" i="2"/>
  <c r="P23" i="2"/>
  <c r="P25" i="2" s="1"/>
  <c r="P13" i="2"/>
  <c r="Q30" i="2"/>
  <c r="V26" i="2"/>
  <c r="Q18" i="2"/>
  <c r="S26" i="2"/>
  <c r="R23" i="2"/>
  <c r="R25" i="2" s="1"/>
  <c r="P18" i="2"/>
  <c r="I26" i="2"/>
  <c r="Q13" i="2"/>
  <c r="X24" i="2" l="1"/>
  <c r="X17" i="2"/>
  <c r="I22" i="2"/>
  <c r="I21" i="2"/>
  <c r="P31" i="2"/>
  <c r="U33" i="2" s="1"/>
  <c r="X30" i="2"/>
  <c r="X32" i="2"/>
  <c r="X18" i="2"/>
  <c r="X23" i="2"/>
  <c r="X13" i="2"/>
  <c r="P12" i="2"/>
  <c r="X12" i="2" s="1"/>
  <c r="Q14" i="2"/>
  <c r="P14" i="2" s="1"/>
  <c r="X14" i="2" s="1"/>
  <c r="Q15" i="2"/>
  <c r="P15" i="2" s="1"/>
  <c r="X15" i="2" s="1"/>
  <c r="Q27" i="2"/>
  <c r="X27" i="2" s="1"/>
  <c r="X31" i="2" l="1"/>
</calcChain>
</file>

<file path=xl/sharedStrings.xml><?xml version="1.0" encoding="utf-8"?>
<sst xmlns="http://schemas.openxmlformats.org/spreadsheetml/2006/main" count="15293" uniqueCount="2112">
  <si>
    <t>PDS Name</t>
  </si>
  <si>
    <t>Item Name</t>
  </si>
  <si>
    <t>Indent No</t>
  </si>
  <si>
    <t>Location Name</t>
  </si>
  <si>
    <t>Priority</t>
  </si>
  <si>
    <t>General Standard</t>
  </si>
  <si>
    <t>MOC Standard</t>
  </si>
  <si>
    <t>MOC Grade</t>
  </si>
  <si>
    <t>Item Size</t>
  </si>
  <si>
    <t>Item Unit</t>
  </si>
  <si>
    <t>Item Type</t>
  </si>
  <si>
    <t>Item Subtype</t>
  </si>
  <si>
    <t>Dimensional Standard</t>
  </si>
  <si>
    <t>MOC Schedule/Class</t>
  </si>
  <si>
    <t>Item Finish</t>
  </si>
  <si>
    <t>Location Details Auto Number</t>
  </si>
  <si>
    <t>Wastage</t>
  </si>
  <si>
    <t>Process Name</t>
  </si>
  <si>
    <t>Added Time</t>
  </si>
  <si>
    <t>Modified Time</t>
  </si>
  <si>
    <t>ID</t>
  </si>
  <si>
    <t>PDS - Distillation Column</t>
  </si>
  <si>
    <t>Plate</t>
  </si>
  <si>
    <t>1A10110111</t>
  </si>
  <si>
    <t>Dishend</t>
  </si>
  <si>
    <t>1A</t>
  </si>
  <si>
    <t>US</t>
  </si>
  <si>
    <t>ASTM A240</t>
  </si>
  <si>
    <t>Gr 304</t>
  </si>
  <si>
    <t>1500</t>
  </si>
  <si>
    <t>mm</t>
  </si>
  <si>
    <t>Hot Rolled</t>
  </si>
  <si>
    <t/>
  </si>
  <si>
    <t>Mill Finish</t>
  </si>
  <si>
    <t>LD/1</t>
  </si>
  <si>
    <t>Pressing</t>
  </si>
  <si>
    <t>216666000000398383</t>
  </si>
  <si>
    <t>1A10110211</t>
  </si>
  <si>
    <t>Cone</t>
  </si>
  <si>
    <t>LD/4</t>
  </si>
  <si>
    <t>Rolling,Knuckling</t>
  </si>
  <si>
    <t>216666000000398386</t>
  </si>
  <si>
    <t>1A10110411</t>
  </si>
  <si>
    <t>Shell Plate</t>
  </si>
  <si>
    <t>LD/17</t>
  </si>
  <si>
    <t>216666000000398399</t>
  </si>
  <si>
    <t>1A10110911</t>
  </si>
  <si>
    <t>Body Flange Liner</t>
  </si>
  <si>
    <t>LD/11</t>
  </si>
  <si>
    <t>216666000000398393</t>
  </si>
  <si>
    <t>1A10112111</t>
  </si>
  <si>
    <t>Nozzle Liner</t>
  </si>
  <si>
    <t>LD/14</t>
  </si>
  <si>
    <t>216666000000398396</t>
  </si>
  <si>
    <t>1A10112311</t>
  </si>
  <si>
    <t>Nozzle Gusset</t>
  </si>
  <si>
    <t>3C</t>
  </si>
  <si>
    <t>LD/20</t>
  </si>
  <si>
    <t>216666000000398402</t>
  </si>
  <si>
    <t>Pipe</t>
  </si>
  <si>
    <t>1A10112611</t>
  </si>
  <si>
    <t>Leg Support</t>
  </si>
  <si>
    <t>ASTM A312</t>
  </si>
  <si>
    <t>NB</t>
  </si>
  <si>
    <t>ERW</t>
  </si>
  <si>
    <t>ASME B36.10M</t>
  </si>
  <si>
    <t>Sch 10S</t>
  </si>
  <si>
    <t>LD/414</t>
  </si>
  <si>
    <t>216666000000950123</t>
  </si>
  <si>
    <t>1A10112711</t>
  </si>
  <si>
    <t>Skirt Support</t>
  </si>
  <si>
    <t>2A</t>
  </si>
  <si>
    <t>LD/25</t>
  </si>
  <si>
    <t>216666000000398407</t>
  </si>
  <si>
    <t>1A10112811</t>
  </si>
  <si>
    <t>Base Plate</t>
  </si>
  <si>
    <t>1B</t>
  </si>
  <si>
    <t>LD/28</t>
  </si>
  <si>
    <t>216666000000398410</t>
  </si>
  <si>
    <t>1A10112911</t>
  </si>
  <si>
    <t>Gusset Plate</t>
  </si>
  <si>
    <t>LD/31</t>
  </si>
  <si>
    <t>216666000000398413</t>
  </si>
  <si>
    <t>1A10113111</t>
  </si>
  <si>
    <t>Name Plate Bracket</t>
  </si>
  <si>
    <t>2C</t>
  </si>
  <si>
    <t>LD/34</t>
  </si>
  <si>
    <t>216666000000398416</t>
  </si>
  <si>
    <t>1A10113311</t>
  </si>
  <si>
    <t>Logo Plate Bracket</t>
  </si>
  <si>
    <t>LD/37</t>
  </si>
  <si>
    <t>216666000000398419</t>
  </si>
  <si>
    <t>1A10113411</t>
  </si>
  <si>
    <t>Lifting Lug</t>
  </si>
  <si>
    <t>LD/40</t>
  </si>
  <si>
    <t>216666000000398422</t>
  </si>
  <si>
    <t>1A10113611</t>
  </si>
  <si>
    <t>Trunion Closer Plate</t>
  </si>
  <si>
    <t>LD/43</t>
  </si>
  <si>
    <t>216666000000398425</t>
  </si>
  <si>
    <t>1A10114011</t>
  </si>
  <si>
    <t>Vortex Breaker</t>
  </si>
  <si>
    <t>3B</t>
  </si>
  <si>
    <t>LD/46</t>
  </si>
  <si>
    <t>216666000000398428</t>
  </si>
  <si>
    <t>1A10114511</t>
  </si>
  <si>
    <t>Tray</t>
  </si>
  <si>
    <t>LD/55</t>
  </si>
  <si>
    <t>216666000000398437</t>
  </si>
  <si>
    <t>1A10114711</t>
  </si>
  <si>
    <t>Tray Support Clits</t>
  </si>
  <si>
    <t>LD/56</t>
  </si>
  <si>
    <t>216666000000398438</t>
  </si>
  <si>
    <t>1A10114811</t>
  </si>
  <si>
    <t>Junction Plate</t>
  </si>
  <si>
    <t>LD/58</t>
  </si>
  <si>
    <t>216666000000398440</t>
  </si>
  <si>
    <t>1A10114911</t>
  </si>
  <si>
    <t>Compression Plate</t>
  </si>
  <si>
    <t>LD/59</t>
  </si>
  <si>
    <t>216666000000398441</t>
  </si>
  <si>
    <t>1A10115411</t>
  </si>
  <si>
    <t>Tray Stiffener</t>
  </si>
  <si>
    <t>LD/60</t>
  </si>
  <si>
    <t>216666000000398442</t>
  </si>
  <si>
    <t>1A10115511</t>
  </si>
  <si>
    <t>Tray Baffle Plate</t>
  </si>
  <si>
    <t>LD/61</t>
  </si>
  <si>
    <t>216666000000398443</t>
  </si>
  <si>
    <t>1A10115611</t>
  </si>
  <si>
    <t>Downcomer</t>
  </si>
  <si>
    <t>LD/62</t>
  </si>
  <si>
    <t>216666000000398444</t>
  </si>
  <si>
    <t>1A10115711</t>
  </si>
  <si>
    <t>Downcomer Support Angle</t>
  </si>
  <si>
    <t>LD/63</t>
  </si>
  <si>
    <t>216666000000398445</t>
  </si>
  <si>
    <t>1A10115811</t>
  </si>
  <si>
    <t>Inlet Weir</t>
  </si>
  <si>
    <t>LD/64</t>
  </si>
  <si>
    <t>216666000000398446</t>
  </si>
  <si>
    <t>1A10118211</t>
  </si>
  <si>
    <t>Pad Plates For Lifting Lug</t>
  </si>
  <si>
    <t>LD/71</t>
  </si>
  <si>
    <t>216666000000398453</t>
  </si>
  <si>
    <t>1A10118511</t>
  </si>
  <si>
    <t>Plate For Launder Tray</t>
  </si>
  <si>
    <t>LD/74</t>
  </si>
  <si>
    <t>216666000000398456</t>
  </si>
  <si>
    <t>1A10118611</t>
  </si>
  <si>
    <t>Blind Flange Liner</t>
  </si>
  <si>
    <t>LD/75</t>
  </si>
  <si>
    <t>216666000000398457</t>
  </si>
  <si>
    <t>1A10118911</t>
  </si>
  <si>
    <t>Pad Plate For Leg support</t>
  </si>
  <si>
    <t>LD/77</t>
  </si>
  <si>
    <t>216666000000398459</t>
  </si>
  <si>
    <t>1A10119011</t>
  </si>
  <si>
    <t>Pad Plate For Saddle support</t>
  </si>
  <si>
    <t>LD/80</t>
  </si>
  <si>
    <t>216666000000398462</t>
  </si>
  <si>
    <t>1A10119111</t>
  </si>
  <si>
    <t>Pad Plate For Nozzle</t>
  </si>
  <si>
    <t>LD/83</t>
  </si>
  <si>
    <t>216666000000398465</t>
  </si>
  <si>
    <t>1A10119411</t>
  </si>
  <si>
    <t>Pad Plate For Shell</t>
  </si>
  <si>
    <t>LD/88</t>
  </si>
  <si>
    <t>216666000000398470</t>
  </si>
  <si>
    <t>1A10119611</t>
  </si>
  <si>
    <t>Pad Plate For SG - LG</t>
  </si>
  <si>
    <t>LD/91</t>
  </si>
  <si>
    <t>216666000000398473</t>
  </si>
  <si>
    <t>1A10119911</t>
  </si>
  <si>
    <t>Trunion Pad Plate</t>
  </si>
  <si>
    <t>LD/94</t>
  </si>
  <si>
    <t>216666000000398476</t>
  </si>
  <si>
    <t>1A10120111</t>
  </si>
  <si>
    <t>Tray Support Channel</t>
  </si>
  <si>
    <t>LD/97</t>
  </si>
  <si>
    <t>216666000000398479</t>
  </si>
  <si>
    <t>1A10120211</t>
  </si>
  <si>
    <t>Inlet Weir Angle</t>
  </si>
  <si>
    <t>LD/98</t>
  </si>
  <si>
    <t>216666000000398480</t>
  </si>
  <si>
    <t>1A10121311</t>
  </si>
  <si>
    <t>Access Hole</t>
  </si>
  <si>
    <t>2B</t>
  </si>
  <si>
    <t>India</t>
  </si>
  <si>
    <t>IS 2062</t>
  </si>
  <si>
    <t>Gr A</t>
  </si>
  <si>
    <t>LD/396</t>
  </si>
  <si>
    <t>216666000000862091</t>
  </si>
  <si>
    <t>1A10121811</t>
  </si>
  <si>
    <t>Skirt Shell - Bottom</t>
  </si>
  <si>
    <t>LD/100</t>
  </si>
  <si>
    <t>216666000000398482</t>
  </si>
  <si>
    <t>1A10121911</t>
  </si>
  <si>
    <t>Skirt Shell - Top</t>
  </si>
  <si>
    <t>LD/101</t>
  </si>
  <si>
    <t>216666000000398483</t>
  </si>
  <si>
    <t>1A10122511</t>
  </si>
  <si>
    <t>Internal Gusset</t>
  </si>
  <si>
    <t>LD/102</t>
  </si>
  <si>
    <t>216666000000398484</t>
  </si>
  <si>
    <t>1A10127511</t>
  </si>
  <si>
    <t>Support Ring</t>
  </si>
  <si>
    <t>LD/449</t>
  </si>
  <si>
    <t>216666000000968007</t>
  </si>
  <si>
    <t>1A10129311</t>
  </si>
  <si>
    <t>Closer Plate</t>
  </si>
  <si>
    <t>LD/415</t>
  </si>
  <si>
    <t>216666000000952003</t>
  </si>
  <si>
    <t>Flat - Plate</t>
  </si>
  <si>
    <t>1A10210311</t>
  </si>
  <si>
    <t>External Stiffner</t>
  </si>
  <si>
    <t>50</t>
  </si>
  <si>
    <t>LD/103</t>
  </si>
  <si>
    <t>216666000000398485</t>
  </si>
  <si>
    <t>1A10210611</t>
  </si>
  <si>
    <t>Body Flange Flat</t>
  </si>
  <si>
    <t>LD/106</t>
  </si>
  <si>
    <t>216666000000398488</t>
  </si>
  <si>
    <t>1A10214611</t>
  </si>
  <si>
    <t>Tray Support Ring</t>
  </si>
  <si>
    <t>LD/108</t>
  </si>
  <si>
    <t>216666000000398490</t>
  </si>
  <si>
    <t>1A10218411</t>
  </si>
  <si>
    <t>Backing Strip</t>
  </si>
  <si>
    <t>LD/109</t>
  </si>
  <si>
    <t>216666000000398491</t>
  </si>
  <si>
    <t>1A10311611</t>
  </si>
  <si>
    <t>Nozzle Pipe</t>
  </si>
  <si>
    <t>3A</t>
  </si>
  <si>
    <t>LD/112</t>
  </si>
  <si>
    <t>216666000000398583</t>
  </si>
  <si>
    <t>1A10313511</t>
  </si>
  <si>
    <t>Trunion Pipe</t>
  </si>
  <si>
    <t>LD/116</t>
  </si>
  <si>
    <t>216666000000398584</t>
  </si>
  <si>
    <t>1A10313811</t>
  </si>
  <si>
    <t>Vent Hole</t>
  </si>
  <si>
    <t>LD/119</t>
  </si>
  <si>
    <t>216666000000398585</t>
  </si>
  <si>
    <t>1A10315011</t>
  </si>
  <si>
    <t>Riser</t>
  </si>
  <si>
    <t>IS 1239</t>
  </si>
  <si>
    <t>Class C</t>
  </si>
  <si>
    <t>LD/394</t>
  </si>
  <si>
    <t>216666000000862075</t>
  </si>
  <si>
    <t>1A10320011</t>
  </si>
  <si>
    <t>SG - LG Pipe</t>
  </si>
  <si>
    <t>LD/129</t>
  </si>
  <si>
    <t>216666000000398586</t>
  </si>
  <si>
    <t>1A10320911</t>
  </si>
  <si>
    <t>Distance Piece For Bend</t>
  </si>
  <si>
    <t>32</t>
  </si>
  <si>
    <t>LD/136</t>
  </si>
  <si>
    <t>216666000000398512</t>
  </si>
  <si>
    <t>1A10321011</t>
  </si>
  <si>
    <t>Downcomer Pipe</t>
  </si>
  <si>
    <t>LD/132</t>
  </si>
  <si>
    <t>216666000000398587</t>
  </si>
  <si>
    <t>1A10331611</t>
  </si>
  <si>
    <t>Vapour Pipe</t>
  </si>
  <si>
    <t>10</t>
  </si>
  <si>
    <t>LD/392</t>
  </si>
  <si>
    <t>216666000000854817</t>
  </si>
  <si>
    <t>1A10331711</t>
  </si>
  <si>
    <t>Vapour Bend</t>
  </si>
  <si>
    <t>LD/393</t>
  </si>
  <si>
    <t>216666000000854829</t>
  </si>
  <si>
    <t>1A10334411</t>
  </si>
  <si>
    <t>Packing Pipe</t>
  </si>
  <si>
    <t>150</t>
  </si>
  <si>
    <t>LD/493</t>
  </si>
  <si>
    <t>216666000001386003</t>
  </si>
  <si>
    <t>Elbow</t>
  </si>
  <si>
    <t>1A10412011</t>
  </si>
  <si>
    <t>Nozzle Elbow</t>
  </si>
  <si>
    <t>ASTM A403</t>
  </si>
  <si>
    <t>WP 304</t>
  </si>
  <si>
    <t>LD/133</t>
  </si>
  <si>
    <t>216666000000398509</t>
  </si>
  <si>
    <t>Flanges</t>
  </si>
  <si>
    <t>1A10611811</t>
  </si>
  <si>
    <t>Nozzle Flange</t>
  </si>
  <si>
    <t>Gr B</t>
  </si>
  <si>
    <t>LJFF</t>
  </si>
  <si>
    <t>IS 6392</t>
  </si>
  <si>
    <t>#150</t>
  </si>
  <si>
    <t>LD/138</t>
  </si>
  <si>
    <t>216666000000398514</t>
  </si>
  <si>
    <t>Stubend</t>
  </si>
  <si>
    <t>1A10711711</t>
  </si>
  <si>
    <t>Nozzle Stubend</t>
  </si>
  <si>
    <t>LD/143</t>
  </si>
  <si>
    <t>216666000000398519</t>
  </si>
  <si>
    <t>Gasket</t>
  </si>
  <si>
    <t>1A10810811</t>
  </si>
  <si>
    <t>Gasket - Body Flange</t>
  </si>
  <si>
    <t>65</t>
  </si>
  <si>
    <t>NACF</t>
  </si>
  <si>
    <t>LD/146</t>
  </si>
  <si>
    <t>216666000000398522</t>
  </si>
  <si>
    <t>1A10811911</t>
  </si>
  <si>
    <t>Nozzle Gasket</t>
  </si>
  <si>
    <t>LD/149</t>
  </si>
  <si>
    <t>216666000000398525</t>
  </si>
  <si>
    <t>Nut, Bolt &amp; Washer</t>
  </si>
  <si>
    <t>1A11410711</t>
  </si>
  <si>
    <t>Nut Bolt &amp; Washer - Body Flange</t>
  </si>
  <si>
    <t>IS 1367</t>
  </si>
  <si>
    <t>Gr 4.6/4.8</t>
  </si>
  <si>
    <t>LD/159</t>
  </si>
  <si>
    <t>216666000000398535</t>
  </si>
  <si>
    <t>1A11412411</t>
  </si>
  <si>
    <t>Nut Bolt &amp; Washer - Nozzle</t>
  </si>
  <si>
    <t>LD/162</t>
  </si>
  <si>
    <t>216666000000398538</t>
  </si>
  <si>
    <t>1A11413911</t>
  </si>
  <si>
    <t>Setting Bolt</t>
  </si>
  <si>
    <t>LD/165</t>
  </si>
  <si>
    <t>216666000000398541</t>
  </si>
  <si>
    <t>1A11415311</t>
  </si>
  <si>
    <t>Nut Bolt &amp; Washer - Bubble Cap</t>
  </si>
  <si>
    <t>1C</t>
  </si>
  <si>
    <t>LD/168</t>
  </si>
  <si>
    <t>216666000000398544</t>
  </si>
  <si>
    <t>1A11431511</t>
  </si>
  <si>
    <t>Nut Bolt &amp; Washer - Tray</t>
  </si>
  <si>
    <t>Hexagonal Type</t>
  </si>
  <si>
    <t>LD/122</t>
  </si>
  <si>
    <t>216666000000847003</t>
  </si>
  <si>
    <t>Barrel Nipple</t>
  </si>
  <si>
    <t>1A11511011</t>
  </si>
  <si>
    <t>1/2</t>
  </si>
  <si>
    <t>Inch</t>
  </si>
  <si>
    <t>LD/169</t>
  </si>
  <si>
    <t>216666000000398545</t>
  </si>
  <si>
    <t>Thermowell</t>
  </si>
  <si>
    <t>1A11611111</t>
  </si>
  <si>
    <t>TP 304</t>
  </si>
  <si>
    <t>LD/173</t>
  </si>
  <si>
    <t>216666000000398549</t>
  </si>
  <si>
    <t>Socket &amp; Plug</t>
  </si>
  <si>
    <t>1A11711211</t>
  </si>
  <si>
    <t>Socket With Plug</t>
  </si>
  <si>
    <t>LD/176</t>
  </si>
  <si>
    <t>216666000000398552</t>
  </si>
  <si>
    <t>SG/LG</t>
  </si>
  <si>
    <t>1A11811311</t>
  </si>
  <si>
    <t>SG - LG</t>
  </si>
  <si>
    <t>LD/179</t>
  </si>
  <si>
    <t>216666000000398555</t>
  </si>
  <si>
    <t>Manhole</t>
  </si>
  <si>
    <t>1A11911411</t>
  </si>
  <si>
    <t>LD/182</t>
  </si>
  <si>
    <t>216666000000398558</t>
  </si>
  <si>
    <t>Bubble Cap</t>
  </si>
  <si>
    <t>1A12015111</t>
  </si>
  <si>
    <t>3</t>
  </si>
  <si>
    <t>LD/185</t>
  </si>
  <si>
    <t>216666000000398561</t>
  </si>
  <si>
    <t>Bubble Cap Holder</t>
  </si>
  <si>
    <t>1A12115211</t>
  </si>
  <si>
    <t>LD/186</t>
  </si>
  <si>
    <t>216666000000398562</t>
  </si>
  <si>
    <t>Wire Mesh</t>
  </si>
  <si>
    <t>1A12717311</t>
  </si>
  <si>
    <t>LD/416</t>
  </si>
  <si>
    <t>216666000000953003</t>
  </si>
  <si>
    <t>Earthing Boss</t>
  </si>
  <si>
    <t>1A12913711</t>
  </si>
  <si>
    <t>40 x 40 x M12</t>
  </si>
  <si>
    <t>LD/196</t>
  </si>
  <si>
    <t>216666000000398572</t>
  </si>
  <si>
    <t>Name Plate</t>
  </si>
  <si>
    <t>1A13013011</t>
  </si>
  <si>
    <t>LD/198</t>
  </si>
  <si>
    <t>216666000000398574</t>
  </si>
  <si>
    <t>1A13013211</t>
  </si>
  <si>
    <t>Logo Plate</t>
  </si>
  <si>
    <t>LD/201</t>
  </si>
  <si>
    <t>216666000000398577</t>
  </si>
  <si>
    <t>Plastic End Cap</t>
  </si>
  <si>
    <t>1A13218311</t>
  </si>
  <si>
    <t>LD/204</t>
  </si>
  <si>
    <t>216666000000398580</t>
  </si>
  <si>
    <t>1A20127211</t>
  </si>
  <si>
    <t>Support Angle</t>
  </si>
  <si>
    <t>LD/450</t>
  </si>
  <si>
    <t>216666000000966457</t>
  </si>
  <si>
    <t>PDS - Miscellaneous</t>
  </si>
  <si>
    <t>1A10110114</t>
  </si>
  <si>
    <t>LD/347</t>
  </si>
  <si>
    <t>216666000000683779</t>
  </si>
  <si>
    <t>1A10110214</t>
  </si>
  <si>
    <t>LD/345</t>
  </si>
  <si>
    <t>216666000000683771</t>
  </si>
  <si>
    <t>1A10110414</t>
  </si>
  <si>
    <t>LD/369</t>
  </si>
  <si>
    <t>216666000000683867</t>
  </si>
  <si>
    <t>1A10112114</t>
  </si>
  <si>
    <t>LD/360</t>
  </si>
  <si>
    <t>216666000000683831</t>
  </si>
  <si>
    <t>1A10112314</t>
  </si>
  <si>
    <t>Nozzle  Gusset</t>
  </si>
  <si>
    <t>LD/359</t>
  </si>
  <si>
    <t>216666000000683827</t>
  </si>
  <si>
    <t>1A10112514</t>
  </si>
  <si>
    <t>Lug Support</t>
  </si>
  <si>
    <t>LD/356</t>
  </si>
  <si>
    <t>216666000000683815</t>
  </si>
  <si>
    <t>1A10112614</t>
  </si>
  <si>
    <t>LD/352</t>
  </si>
  <si>
    <t>216666000000683799</t>
  </si>
  <si>
    <t>1A10112814</t>
  </si>
  <si>
    <t>LD/339</t>
  </si>
  <si>
    <t>216666000000683747</t>
  </si>
  <si>
    <t>1A10112914</t>
  </si>
  <si>
    <t>LD/350</t>
  </si>
  <si>
    <t>216666000000683791</t>
  </si>
  <si>
    <t>1A10113014</t>
  </si>
  <si>
    <t>LD/357</t>
  </si>
  <si>
    <t>216666000000683819</t>
  </si>
  <si>
    <t>1A10113114</t>
  </si>
  <si>
    <t>LD/358</t>
  </si>
  <si>
    <t>216666000000683823</t>
  </si>
  <si>
    <t>1A10113214</t>
  </si>
  <si>
    <t>LD/354</t>
  </si>
  <si>
    <t>216666000000683807</t>
  </si>
  <si>
    <t>1A10113314</t>
  </si>
  <si>
    <t>LD/355</t>
  </si>
  <si>
    <t>216666000000683811</t>
  </si>
  <si>
    <t>1A10113414</t>
  </si>
  <si>
    <t>LD/353</t>
  </si>
  <si>
    <t>216666000000683803</t>
  </si>
  <si>
    <t>1A10114014</t>
  </si>
  <si>
    <t>Vortex Breaker Plate</t>
  </si>
  <si>
    <t>LD/372</t>
  </si>
  <si>
    <t>216666000000683879</t>
  </si>
  <si>
    <t>1A10114414</t>
  </si>
  <si>
    <t>Saddle Plate</t>
  </si>
  <si>
    <t>LD/368</t>
  </si>
  <si>
    <t>216666000000683863</t>
  </si>
  <si>
    <t>1A10118114</t>
  </si>
  <si>
    <t>Tank Support Clits</t>
  </si>
  <si>
    <t>LD/371</t>
  </si>
  <si>
    <t>216666000000683875</t>
  </si>
  <si>
    <t>1A10118214</t>
  </si>
  <si>
    <t>Pad Plate For Lifting Lug</t>
  </si>
  <si>
    <t>LD/362</t>
  </si>
  <si>
    <t>216666000000683839</t>
  </si>
  <si>
    <t>1A10118614</t>
  </si>
  <si>
    <t>LD/341</t>
  </si>
  <si>
    <t>216666000000683755</t>
  </si>
  <si>
    <t>1A10118914</t>
  </si>
  <si>
    <t>Pad Plate For Leg Support</t>
  </si>
  <si>
    <t>LD/361</t>
  </si>
  <si>
    <t>216666000000683835</t>
  </si>
  <si>
    <t>1A10119014</t>
  </si>
  <si>
    <t>Pad Plate For Saddle Support</t>
  </si>
  <si>
    <t>LD/364</t>
  </si>
  <si>
    <t>216666000000683847</t>
  </si>
  <si>
    <t>1A10119114</t>
  </si>
  <si>
    <t>LD/363</t>
  </si>
  <si>
    <t>216666000000683843</t>
  </si>
  <si>
    <t>1A10119214</t>
  </si>
  <si>
    <t>Rib Plate</t>
  </si>
  <si>
    <t>LD/367</t>
  </si>
  <si>
    <t>216666000000683859</t>
  </si>
  <si>
    <t>1A10119614</t>
  </si>
  <si>
    <t>LD/492</t>
  </si>
  <si>
    <t>216666000001368739</t>
  </si>
  <si>
    <t>1A10120414</t>
  </si>
  <si>
    <t>Base Plate For Leg Support</t>
  </si>
  <si>
    <t>LD/340</t>
  </si>
  <si>
    <t>216666000000683751</t>
  </si>
  <si>
    <t>1A10120814</t>
  </si>
  <si>
    <t>Gusset Plate For Lug Support</t>
  </si>
  <si>
    <t>LD/351</t>
  </si>
  <si>
    <t>216666000000683795</t>
  </si>
  <si>
    <t>1A10123514</t>
  </si>
  <si>
    <t>Cover Plate</t>
  </si>
  <si>
    <t>LD/501</t>
  </si>
  <si>
    <t>216666000001513019</t>
  </si>
  <si>
    <t>1A10126714</t>
  </si>
  <si>
    <t>Top Plate</t>
  </si>
  <si>
    <t>LD/412</t>
  </si>
  <si>
    <t>216666000000883011</t>
  </si>
  <si>
    <t>1A10127514</t>
  </si>
  <si>
    <t>LD/370</t>
  </si>
  <si>
    <t>216666000000683871</t>
  </si>
  <si>
    <t>1A10129014</t>
  </si>
  <si>
    <t>Bottom Plate</t>
  </si>
  <si>
    <t>LD/342</t>
  </si>
  <si>
    <t>216666000000683759</t>
  </si>
  <si>
    <t>1A10129114</t>
  </si>
  <si>
    <t>Bracket For Name Plate</t>
  </si>
  <si>
    <t>LD/343</t>
  </si>
  <si>
    <t>216666000000683763</t>
  </si>
  <si>
    <t>1A10129314</t>
  </si>
  <si>
    <t>LD/344</t>
  </si>
  <si>
    <t>216666000000683767</t>
  </si>
  <si>
    <t>1A10129514</t>
  </si>
  <si>
    <t>Cone Type Fins</t>
  </si>
  <si>
    <t>LD/346</t>
  </si>
  <si>
    <t>216666000000683775</t>
  </si>
  <si>
    <t>1A10129614</t>
  </si>
  <si>
    <t>Frame Plate</t>
  </si>
  <si>
    <t>LD/348</t>
  </si>
  <si>
    <t>216666000000683783</t>
  </si>
  <si>
    <t>1A10129714</t>
  </si>
  <si>
    <t>Frame Plate Support Flat</t>
  </si>
  <si>
    <t>LD/349</t>
  </si>
  <si>
    <t>216666000000683787</t>
  </si>
  <si>
    <t>1A10130514</t>
  </si>
  <si>
    <t>Perforated Plate</t>
  </si>
  <si>
    <t>LD/365</t>
  </si>
  <si>
    <t>216666000000683851</t>
  </si>
  <si>
    <t>1A10130714</t>
  </si>
  <si>
    <t>R.F. Pad For Manhole</t>
  </si>
  <si>
    <t>LD/366</t>
  </si>
  <si>
    <t>216666000000683855</t>
  </si>
  <si>
    <t>1A10131814</t>
  </si>
  <si>
    <t>Cladding for Blind Flange</t>
  </si>
  <si>
    <t>LD/391</t>
  </si>
  <si>
    <t>216666000000854813</t>
  </si>
  <si>
    <t>1A10131914</t>
  </si>
  <si>
    <t>Fins</t>
  </si>
  <si>
    <t>LD/398</t>
  </si>
  <si>
    <t>216666000000873035</t>
  </si>
  <si>
    <t>1A10133414</t>
  </si>
  <si>
    <t>Sparger Support</t>
  </si>
  <si>
    <t>LD/475</t>
  </si>
  <si>
    <t>216666000001005011</t>
  </si>
  <si>
    <t>1A10210314</t>
  </si>
  <si>
    <t>External Stiffener</t>
  </si>
  <si>
    <t>LD/318</t>
  </si>
  <si>
    <t>216666000000683663</t>
  </si>
  <si>
    <t>1A10218414</t>
  </si>
  <si>
    <t>LD/320</t>
  </si>
  <si>
    <t>216666000000683671</t>
  </si>
  <si>
    <t>1A10219814</t>
  </si>
  <si>
    <t>Nozzle Stiffener</t>
  </si>
  <si>
    <t>LD/319</t>
  </si>
  <si>
    <t>216666000000683667</t>
  </si>
  <si>
    <t>1A10311614</t>
  </si>
  <si>
    <t>LD/331</t>
  </si>
  <si>
    <t>216666000000683715</t>
  </si>
  <si>
    <t>1A10317814</t>
  </si>
  <si>
    <t>Sparger Arm Pipe</t>
  </si>
  <si>
    <t>LD/335</t>
  </si>
  <si>
    <t>216666000000683731</t>
  </si>
  <si>
    <t>1A10318014</t>
  </si>
  <si>
    <t>Shell Pipe</t>
  </si>
  <si>
    <t>LD/334</t>
  </si>
  <si>
    <t>216666000000683727</t>
  </si>
  <si>
    <t>1A10320014</t>
  </si>
  <si>
    <t>LD/333</t>
  </si>
  <si>
    <t>216666000000683723</t>
  </si>
  <si>
    <t>1A10320514</t>
  </si>
  <si>
    <t>Leg Pipe</t>
  </si>
  <si>
    <t>LD/330</t>
  </si>
  <si>
    <t>216666000000683711</t>
  </si>
  <si>
    <t>1A10328314</t>
  </si>
  <si>
    <t>Vent Pipe</t>
  </si>
  <si>
    <t>LD/337</t>
  </si>
  <si>
    <t>216666000000683739</t>
  </si>
  <si>
    <t>1A10328814</t>
  </si>
  <si>
    <t>Air Inlet Pipe</t>
  </si>
  <si>
    <t>LD/327</t>
  </si>
  <si>
    <t>216666000000683699</t>
  </si>
  <si>
    <t>1A10329814</t>
  </si>
  <si>
    <t>Header Connector Pipe</t>
  </si>
  <si>
    <t>LD/328</t>
  </si>
  <si>
    <t>216666000000683703</t>
  </si>
  <si>
    <t>1A10329914</t>
  </si>
  <si>
    <t>Header Pipe</t>
  </si>
  <si>
    <t>LD/329</t>
  </si>
  <si>
    <t>216666000000683707</t>
  </si>
  <si>
    <t>1A10330614</t>
  </si>
  <si>
    <t>Pipe Clamp Support</t>
  </si>
  <si>
    <t>LD/332</t>
  </si>
  <si>
    <t>216666000000683719</t>
  </si>
  <si>
    <t>1A10330914</t>
  </si>
  <si>
    <t>Support Fins</t>
  </si>
  <si>
    <t>LD/336</t>
  </si>
  <si>
    <t>216666000000683735</t>
  </si>
  <si>
    <t>1A10412014</t>
  </si>
  <si>
    <t>LD/312</t>
  </si>
  <si>
    <t>216666000000683639</t>
  </si>
  <si>
    <t>Reducer</t>
  </si>
  <si>
    <t>1A10529414</t>
  </si>
  <si>
    <t>Concentric Reducer</t>
  </si>
  <si>
    <t>LD/373</t>
  </si>
  <si>
    <t>216666000000683883</t>
  </si>
  <si>
    <t>1A10611814</t>
  </si>
  <si>
    <t>LD/317</t>
  </si>
  <si>
    <t>216666000000683659</t>
  </si>
  <si>
    <t>1A10621914</t>
  </si>
  <si>
    <t>Blind Flange</t>
  </si>
  <si>
    <t>LD/314</t>
  </si>
  <si>
    <t>216666000000683647</t>
  </si>
  <si>
    <t>1A10630214</t>
  </si>
  <si>
    <t>Liner For Blind Flange</t>
  </si>
  <si>
    <t>LD/315</t>
  </si>
  <si>
    <t>216666000000683651</t>
  </si>
  <si>
    <t>1A10630314</t>
  </si>
  <si>
    <t>Liner For Flange</t>
  </si>
  <si>
    <t>LD/316</t>
  </si>
  <si>
    <t>216666000000683655</t>
  </si>
  <si>
    <t>1A10711714</t>
  </si>
  <si>
    <t>LD/378</t>
  </si>
  <si>
    <t>216666000000683903</t>
  </si>
  <si>
    <t>1A10730814</t>
  </si>
  <si>
    <t>LD/377</t>
  </si>
  <si>
    <t>216666000000683899</t>
  </si>
  <si>
    <t>1A10811914</t>
  </si>
  <si>
    <t>LD/322</t>
  </si>
  <si>
    <t>216666000000683679</t>
  </si>
  <si>
    <t>1A10819314</t>
  </si>
  <si>
    <t>C-Type Gasket</t>
  </si>
  <si>
    <t>LD/321</t>
  </si>
  <si>
    <t>216666000000683675</t>
  </si>
  <si>
    <t>Union</t>
  </si>
  <si>
    <t>1A11030014</t>
  </si>
  <si>
    <t>IDF With Blank Liner</t>
  </si>
  <si>
    <t>LD/381</t>
  </si>
  <si>
    <t>216666000000683915</t>
  </si>
  <si>
    <t>1A11030114</t>
  </si>
  <si>
    <t>IDF With Union</t>
  </si>
  <si>
    <t>LD/382</t>
  </si>
  <si>
    <t>216666000000683919</t>
  </si>
  <si>
    <t>1A11412414</t>
  </si>
  <si>
    <t>LD/325</t>
  </si>
  <si>
    <t>216666000000683691</t>
  </si>
  <si>
    <t>1A11413914</t>
  </si>
  <si>
    <t>LD/326</t>
  </si>
  <si>
    <t>216666000000683695</t>
  </si>
  <si>
    <t>1A11419714</t>
  </si>
  <si>
    <t>Hex Nut</t>
  </si>
  <si>
    <t>LD/324</t>
  </si>
  <si>
    <t>216666000000683687</t>
  </si>
  <si>
    <t>1A11422014</t>
  </si>
  <si>
    <t>Bolt &amp; Nut</t>
  </si>
  <si>
    <t>LD/323</t>
  </si>
  <si>
    <t>216666000000683683</t>
  </si>
  <si>
    <t>1A11511014</t>
  </si>
  <si>
    <t>LD/308</t>
  </si>
  <si>
    <t>216666000000683623</t>
  </si>
  <si>
    <t>1A11611114</t>
  </si>
  <si>
    <t>LD/379</t>
  </si>
  <si>
    <t>216666000000683907</t>
  </si>
  <si>
    <t>1A11711214</t>
  </si>
  <si>
    <t>LD/375</t>
  </si>
  <si>
    <t>216666000000683891</t>
  </si>
  <si>
    <t>1A11811314</t>
  </si>
  <si>
    <t>LD/374</t>
  </si>
  <si>
    <t>216666000000683887</t>
  </si>
  <si>
    <t>Tube</t>
  </si>
  <si>
    <t>1A12316514</t>
  </si>
  <si>
    <t>ASTM A249</t>
  </si>
  <si>
    <t>38.1</t>
  </si>
  <si>
    <t>Circular</t>
  </si>
  <si>
    <t>LD/397</t>
  </si>
  <si>
    <t>216666000000872007</t>
  </si>
  <si>
    <t>1A12330414</t>
  </si>
  <si>
    <t>Packing Material</t>
  </si>
  <si>
    <t>LD/380</t>
  </si>
  <si>
    <t>216666000000683911</t>
  </si>
  <si>
    <t>Solid Bar</t>
  </si>
  <si>
    <t>1A12511514</t>
  </si>
  <si>
    <t>Handle Rod</t>
  </si>
  <si>
    <t>LD/376</t>
  </si>
  <si>
    <t>216666000000683895</t>
  </si>
  <si>
    <t>1A12717314</t>
  </si>
  <si>
    <t>LD/383</t>
  </si>
  <si>
    <t>216666000000683923</t>
  </si>
  <si>
    <t>End Cap</t>
  </si>
  <si>
    <t>1A12814114</t>
  </si>
  <si>
    <t>LD/313</t>
  </si>
  <si>
    <t>216666000000683643</t>
  </si>
  <si>
    <t>1A12913714</t>
  </si>
  <si>
    <t>LD/311</t>
  </si>
  <si>
    <t>216666000000683635</t>
  </si>
  <si>
    <t>1A13218314</t>
  </si>
  <si>
    <t>Plastic End Caps</t>
  </si>
  <si>
    <t>LD/338</t>
  </si>
  <si>
    <t>216666000000683743</t>
  </si>
  <si>
    <t>Angle</t>
  </si>
  <si>
    <t>1A20128914</t>
  </si>
  <si>
    <t>Angle Support</t>
  </si>
  <si>
    <t>LD/307</t>
  </si>
  <si>
    <t>216666000000683619</t>
  </si>
  <si>
    <t>Beam</t>
  </si>
  <si>
    <t>1A20227314</t>
  </si>
  <si>
    <t>Support Beam</t>
  </si>
  <si>
    <t>LD/309</t>
  </si>
  <si>
    <t>216666000000683627</t>
  </si>
  <si>
    <t>Channel</t>
  </si>
  <si>
    <t>1A20327414</t>
  </si>
  <si>
    <t xml:space="preserve">Support Channel	</t>
  </si>
  <si>
    <t>ISMC 200</t>
  </si>
  <si>
    <t>C Channel</t>
  </si>
  <si>
    <t>LD/474</t>
  </si>
  <si>
    <t>216666000001002059</t>
  </si>
  <si>
    <t>1A20329214</t>
  </si>
  <si>
    <t>Curb Channel</t>
  </si>
  <si>
    <t>LD/310</t>
  </si>
  <si>
    <t>216666000000683631</t>
  </si>
  <si>
    <t>PDS - Shell &amp; Tube HE</t>
  </si>
  <si>
    <t>1A10110112</t>
  </si>
  <si>
    <t>LD/2</t>
  </si>
  <si>
    <t>216666000000398384</t>
  </si>
  <si>
    <t>1A10110212</t>
  </si>
  <si>
    <t>LD/5</t>
  </si>
  <si>
    <t>216666000000398387</t>
  </si>
  <si>
    <t>1A10110412</t>
  </si>
  <si>
    <t>LD/7</t>
  </si>
  <si>
    <t>216666000000398389</t>
  </si>
  <si>
    <t>1A10110512</t>
  </si>
  <si>
    <t>Square Duct</t>
  </si>
  <si>
    <t>LD/9</t>
  </si>
  <si>
    <t>216666000000398391</t>
  </si>
  <si>
    <t>1A10110612</t>
  </si>
  <si>
    <t>Body Flange</t>
  </si>
  <si>
    <t>LD/477</t>
  </si>
  <si>
    <t>216666000001274003</t>
  </si>
  <si>
    <t>1A10110912</t>
  </si>
  <si>
    <t>LD/12</t>
  </si>
  <si>
    <t>216666000000398394</t>
  </si>
  <si>
    <t>1A10112112</t>
  </si>
  <si>
    <t>LD/15</t>
  </si>
  <si>
    <t>216666000000398397</t>
  </si>
  <si>
    <t>1A10112312</t>
  </si>
  <si>
    <t>LD/21</t>
  </si>
  <si>
    <t>216666000000398403</t>
  </si>
  <si>
    <t>1A10112512</t>
  </si>
  <si>
    <t>LD/23</t>
  </si>
  <si>
    <t>216666000000398405</t>
  </si>
  <si>
    <t>1A10112712</t>
  </si>
  <si>
    <t>LD/26</t>
  </si>
  <si>
    <t>216666000000398408</t>
  </si>
  <si>
    <t>1A10112812</t>
  </si>
  <si>
    <t>LD/29</t>
  </si>
  <si>
    <t>216666000000398411</t>
  </si>
  <si>
    <t>1A10112912</t>
  </si>
  <si>
    <t>LD/32</t>
  </si>
  <si>
    <t>216666000000398414</t>
  </si>
  <si>
    <t>1A10113112</t>
  </si>
  <si>
    <t>LD/35</t>
  </si>
  <si>
    <t>216666000000398417</t>
  </si>
  <si>
    <t>1A10113312</t>
  </si>
  <si>
    <t>LD/38</t>
  </si>
  <si>
    <t>216666000000398420</t>
  </si>
  <si>
    <t>1A10113412</t>
  </si>
  <si>
    <t>LD/41</t>
  </si>
  <si>
    <t>216666000000398423</t>
  </si>
  <si>
    <t>1A10113612</t>
  </si>
  <si>
    <t>LD/44</t>
  </si>
  <si>
    <t>216666000000398426</t>
  </si>
  <si>
    <t>1A10114012</t>
  </si>
  <si>
    <t>LD/47</t>
  </si>
  <si>
    <t>216666000000398429</t>
  </si>
  <si>
    <t>1A10114212</t>
  </si>
  <si>
    <t>Jacket Shell</t>
  </si>
  <si>
    <t>LD/49</t>
  </si>
  <si>
    <t>216666000000398431</t>
  </si>
  <si>
    <t>1A10114312</t>
  </si>
  <si>
    <t>Bonnet Shell</t>
  </si>
  <si>
    <t>LD/51</t>
  </si>
  <si>
    <t>216666000000398433</t>
  </si>
  <si>
    <t>1A10114412</t>
  </si>
  <si>
    <t>LD/53</t>
  </si>
  <si>
    <t>216666000000398435</t>
  </si>
  <si>
    <t>1A10116012</t>
  </si>
  <si>
    <t>Baffle Plate</t>
  </si>
  <si>
    <t>LD/65</t>
  </si>
  <si>
    <t>216666000000398447</t>
  </si>
  <si>
    <t>1A10116912</t>
  </si>
  <si>
    <t>Distribution Plate</t>
  </si>
  <si>
    <t>LD/66</t>
  </si>
  <si>
    <t>216666000000398448</t>
  </si>
  <si>
    <t>1A10117112</t>
  </si>
  <si>
    <t>Partition Plate</t>
  </si>
  <si>
    <t>LD/67</t>
  </si>
  <si>
    <t>216666000000398449</t>
  </si>
  <si>
    <t>1A10118212</t>
  </si>
  <si>
    <t>LD/72</t>
  </si>
  <si>
    <t>216666000000398454</t>
  </si>
  <si>
    <t>1A10118612</t>
  </si>
  <si>
    <t>LD/451</t>
  </si>
  <si>
    <t>216666000000966465</t>
  </si>
  <si>
    <t>1A10118812</t>
  </si>
  <si>
    <t>Surretion Ring</t>
  </si>
  <si>
    <t>LD/76</t>
  </si>
  <si>
    <t>216666000000398458</t>
  </si>
  <si>
    <t>1A10118912</t>
  </si>
  <si>
    <t>LD/78</t>
  </si>
  <si>
    <t>216666000000398460</t>
  </si>
  <si>
    <t>1A10119012</t>
  </si>
  <si>
    <t>LD/81</t>
  </si>
  <si>
    <t>216666000000398463</t>
  </si>
  <si>
    <t>1A10119112</t>
  </si>
  <si>
    <t>LD/84</t>
  </si>
  <si>
    <t>216666000000398466</t>
  </si>
  <si>
    <t>1A10119212</t>
  </si>
  <si>
    <t>LD/86</t>
  </si>
  <si>
    <t>216666000000398468</t>
  </si>
  <si>
    <t>1A10119412</t>
  </si>
  <si>
    <t>LD/89</t>
  </si>
  <si>
    <t>216666000000398471</t>
  </si>
  <si>
    <t>1A10119612</t>
  </si>
  <si>
    <t>LD/92</t>
  </si>
  <si>
    <t>216666000000398474</t>
  </si>
  <si>
    <t>1A10119912</t>
  </si>
  <si>
    <t>LD/95</t>
  </si>
  <si>
    <t>216666000000398477</t>
  </si>
  <si>
    <t>1A10120612</t>
  </si>
  <si>
    <t>Top Support Ring</t>
  </si>
  <si>
    <t>LD/499</t>
  </si>
  <si>
    <t>216666000001511035</t>
  </si>
  <si>
    <t>1A10120712</t>
  </si>
  <si>
    <t>Bottom Support Ring</t>
  </si>
  <si>
    <t>LD/500</t>
  </si>
  <si>
    <t>216666000001511039</t>
  </si>
  <si>
    <t>1A10121012</t>
  </si>
  <si>
    <t>Jacket Cone</t>
  </si>
  <si>
    <t>LD/516</t>
  </si>
  <si>
    <t>216666000001547015</t>
  </si>
  <si>
    <t>1A10123512</t>
  </si>
  <si>
    <t>LD/518</t>
  </si>
  <si>
    <t>216666000001583329</t>
  </si>
  <si>
    <t>1A10134712</t>
  </si>
  <si>
    <t>Pad Plate For Lug Support</t>
  </si>
  <si>
    <t>LD/497</t>
  </si>
  <si>
    <t>216666000001511011</t>
  </si>
  <si>
    <t>1A10134812</t>
  </si>
  <si>
    <t>Pad Plate For Support Ring</t>
  </si>
  <si>
    <t>LD/498</t>
  </si>
  <si>
    <t>216666000001511031</t>
  </si>
  <si>
    <t>1A10135312</t>
  </si>
  <si>
    <t>Skirt Shell</t>
  </si>
  <si>
    <t>LD/517</t>
  </si>
  <si>
    <t>216666000001547019</t>
  </si>
  <si>
    <t>1A10210312</t>
  </si>
  <si>
    <t>LD/104</t>
  </si>
  <si>
    <t>216666000000398486</t>
  </si>
  <si>
    <t>1A10210612</t>
  </si>
  <si>
    <t>LD/395</t>
  </si>
  <si>
    <t>216666000000862087</t>
  </si>
  <si>
    <t>1A10218412</t>
  </si>
  <si>
    <t>LD/110</t>
  </si>
  <si>
    <t>216666000000398492</t>
  </si>
  <si>
    <t>1A10219812</t>
  </si>
  <si>
    <t>LD/111</t>
  </si>
  <si>
    <t>216666000000398493</t>
  </si>
  <si>
    <t>1A10235212</t>
  </si>
  <si>
    <t>Flat For Distribution Plate</t>
  </si>
  <si>
    <t>60</t>
  </si>
  <si>
    <t>LD/515</t>
  </si>
  <si>
    <t>216666000001545767</t>
  </si>
  <si>
    <t>1A10311612</t>
  </si>
  <si>
    <t>LD/113</t>
  </si>
  <si>
    <t>216666000000398494</t>
  </si>
  <si>
    <t>1A10313512</t>
  </si>
  <si>
    <t>LD/117</t>
  </si>
  <si>
    <t>216666000000398497</t>
  </si>
  <si>
    <t>1A10313812</t>
  </si>
  <si>
    <t>LD/120</t>
  </si>
  <si>
    <t>216666000000398499</t>
  </si>
  <si>
    <t>1A10318012</t>
  </si>
  <si>
    <t>LD/126</t>
  </si>
  <si>
    <t>216666000000398504</t>
  </si>
  <si>
    <t>1A10319512</t>
  </si>
  <si>
    <t>Bonnet Shell Pipe</t>
  </si>
  <si>
    <t>LD/128</t>
  </si>
  <si>
    <t>216666000000398506</t>
  </si>
  <si>
    <t>1A10320012</t>
  </si>
  <si>
    <t>LD/130</t>
  </si>
  <si>
    <t>216666000000398507</t>
  </si>
  <si>
    <t>1A10412012</t>
  </si>
  <si>
    <t>LD/134</t>
  </si>
  <si>
    <t>216666000000398510</t>
  </si>
  <si>
    <t>1A10611812</t>
  </si>
  <si>
    <t>LD/139</t>
  </si>
  <si>
    <t>216666000000398515</t>
  </si>
  <si>
    <t>1A10621912</t>
  </si>
  <si>
    <t>LD/452</t>
  </si>
  <si>
    <t>216666000000966461</t>
  </si>
  <si>
    <t>1A10711712</t>
  </si>
  <si>
    <t>LD/144</t>
  </si>
  <si>
    <t>216666000000398520</t>
  </si>
  <si>
    <t>1A10810812</t>
  </si>
  <si>
    <t>LD/147</t>
  </si>
  <si>
    <t>216666000000398523</t>
  </si>
  <si>
    <t>1A10811912</t>
  </si>
  <si>
    <t>LD/150</t>
  </si>
  <si>
    <t>216666000000398526</t>
  </si>
  <si>
    <t>1A10819312</t>
  </si>
  <si>
    <t>C - Type Gasket</t>
  </si>
  <si>
    <t>LD/154</t>
  </si>
  <si>
    <t>216666000000398530</t>
  </si>
  <si>
    <t>Nut</t>
  </si>
  <si>
    <t>1A11216412</t>
  </si>
  <si>
    <t>Stud Nut</t>
  </si>
  <si>
    <t>LD/155</t>
  </si>
  <si>
    <t>216666000000398531</t>
  </si>
  <si>
    <t>1A11216712</t>
  </si>
  <si>
    <t>Lock Nut</t>
  </si>
  <si>
    <t>LD/156</t>
  </si>
  <si>
    <t>216666000000398532</t>
  </si>
  <si>
    <t>1A11219712</t>
  </si>
  <si>
    <t>LD/157</t>
  </si>
  <si>
    <t>216666000000398533</t>
  </si>
  <si>
    <t>Bolt</t>
  </si>
  <si>
    <t>1A11316812</t>
  </si>
  <si>
    <t>Eye Bolt</t>
  </si>
  <si>
    <t>LD/158</t>
  </si>
  <si>
    <t>216666000000398534</t>
  </si>
  <si>
    <t>1A11410712</t>
  </si>
  <si>
    <t>LD/160</t>
  </si>
  <si>
    <t>216666000000398536</t>
  </si>
  <si>
    <t>1A11412412</t>
  </si>
  <si>
    <t>LD/163</t>
  </si>
  <si>
    <t>216666000000398539</t>
  </si>
  <si>
    <t>1A11413912</t>
  </si>
  <si>
    <t>LD/166</t>
  </si>
  <si>
    <t>216666000000398542</t>
  </si>
  <si>
    <t>1A11511012</t>
  </si>
  <si>
    <t>LD/170</t>
  </si>
  <si>
    <t>216666000000398546</t>
  </si>
  <si>
    <t>1A11611112</t>
  </si>
  <si>
    <t>LD/174</t>
  </si>
  <si>
    <t>216666000000398550</t>
  </si>
  <si>
    <t>1A11711212</t>
  </si>
  <si>
    <t>LD/177</t>
  </si>
  <si>
    <t>216666000000398553</t>
  </si>
  <si>
    <t>1A11811312</t>
  </si>
  <si>
    <t>LD/180</t>
  </si>
  <si>
    <t>216666000000398556</t>
  </si>
  <si>
    <t>1A11911412</t>
  </si>
  <si>
    <t>LD/183</t>
  </si>
  <si>
    <t>216666000000398559</t>
  </si>
  <si>
    <t>Tubesheet</t>
  </si>
  <si>
    <t>1A12215912</t>
  </si>
  <si>
    <t>LD/187</t>
  </si>
  <si>
    <t>216666000000398563</t>
  </si>
  <si>
    <t>1A12316112</t>
  </si>
  <si>
    <t>Spacer Tube</t>
  </si>
  <si>
    <t>LD/188</t>
  </si>
  <si>
    <t>216666000000398564</t>
  </si>
  <si>
    <t>1A12316512</t>
  </si>
  <si>
    <t>Tubes</t>
  </si>
  <si>
    <t>LD/189</t>
  </si>
  <si>
    <t>216666000000398565</t>
  </si>
  <si>
    <t>1A12316612</t>
  </si>
  <si>
    <t>Vapor Tube</t>
  </si>
  <si>
    <t>ASTM A450</t>
  </si>
  <si>
    <t>Sch 5S</t>
  </si>
  <si>
    <t>LD/190</t>
  </si>
  <si>
    <t>216666000000398566</t>
  </si>
  <si>
    <t>Stud</t>
  </si>
  <si>
    <t>1A12416312</t>
  </si>
  <si>
    <t>LD/191</t>
  </si>
  <si>
    <t>216666000000398567</t>
  </si>
  <si>
    <t>1A12516212</t>
  </si>
  <si>
    <t>Tie Rod</t>
  </si>
  <si>
    <t>LD/192</t>
  </si>
  <si>
    <t>216666000000398568</t>
  </si>
  <si>
    <t>1A12814112</t>
  </si>
  <si>
    <t>LD/194</t>
  </si>
  <si>
    <t>216666000000398570</t>
  </si>
  <si>
    <t>1A12913712</t>
  </si>
  <si>
    <t>LD/197</t>
  </si>
  <si>
    <t>216666000000398573</t>
  </si>
  <si>
    <t>1A13013012</t>
  </si>
  <si>
    <t>LD/199</t>
  </si>
  <si>
    <t>216666000000398575</t>
  </si>
  <si>
    <t>1A13013212</t>
  </si>
  <si>
    <t>LD/202</t>
  </si>
  <si>
    <t>216666000000398578</t>
  </si>
  <si>
    <t>1A13218312</t>
  </si>
  <si>
    <t>LD/205</t>
  </si>
  <si>
    <t>216666000000398581</t>
  </si>
  <si>
    <t>Locating Pins</t>
  </si>
  <si>
    <t>1A13517012</t>
  </si>
  <si>
    <t>LD/514</t>
  </si>
  <si>
    <t>216666000001545759</t>
  </si>
  <si>
    <t>PDS - Shop Tank</t>
  </si>
  <si>
    <t>1A10110113</t>
  </si>
  <si>
    <t>LD/3</t>
  </si>
  <si>
    <t>216666000000398385</t>
  </si>
  <si>
    <t>1A10110213</t>
  </si>
  <si>
    <t>LD/6</t>
  </si>
  <si>
    <t>216666000000398388</t>
  </si>
  <si>
    <t>1A10110413</t>
  </si>
  <si>
    <t>LD/19</t>
  </si>
  <si>
    <t>216666000000398401</t>
  </si>
  <si>
    <t>1A10110513</t>
  </si>
  <si>
    <t>LD/10</t>
  </si>
  <si>
    <t>216666000000398392</t>
  </si>
  <si>
    <t>1A10110913</t>
  </si>
  <si>
    <t>LD/13</t>
  </si>
  <si>
    <t>216666000000398395</t>
  </si>
  <si>
    <t>1A10112113</t>
  </si>
  <si>
    <t>LD/16</t>
  </si>
  <si>
    <t>216666000000398398</t>
  </si>
  <si>
    <t>1A10112313</t>
  </si>
  <si>
    <t>LD/22</t>
  </si>
  <si>
    <t>216666000000398404</t>
  </si>
  <si>
    <t>1A10112513</t>
  </si>
  <si>
    <t>LD/24</t>
  </si>
  <si>
    <t>216666000000398406</t>
  </si>
  <si>
    <t>1A10112713</t>
  </si>
  <si>
    <t>LD/27</t>
  </si>
  <si>
    <t>216666000000398409</t>
  </si>
  <si>
    <t>1A10112813</t>
  </si>
  <si>
    <t>LD/30</t>
  </si>
  <si>
    <t>216666000000398412</t>
  </si>
  <si>
    <t>1A10112913</t>
  </si>
  <si>
    <t>LD/33</t>
  </si>
  <si>
    <t>216666000000398415</t>
  </si>
  <si>
    <t>1A10113113</t>
  </si>
  <si>
    <t>LD/36</t>
  </si>
  <si>
    <t>216666000000398418</t>
  </si>
  <si>
    <t>1A10113313</t>
  </si>
  <si>
    <t>LD/39</t>
  </si>
  <si>
    <t>216666000000398421</t>
  </si>
  <si>
    <t>1A10113413</t>
  </si>
  <si>
    <t>LD/42</t>
  </si>
  <si>
    <t>216666000000398424</t>
  </si>
  <si>
    <t>1A10113613</t>
  </si>
  <si>
    <t>LD/45</t>
  </si>
  <si>
    <t>216666000000398427</t>
  </si>
  <si>
    <t>1A10114013</t>
  </si>
  <si>
    <t>LD/48</t>
  </si>
  <si>
    <t>216666000000398430</t>
  </si>
  <si>
    <t>1A10114213</t>
  </si>
  <si>
    <t>LD/50</t>
  </si>
  <si>
    <t>216666000000398432</t>
  </si>
  <si>
    <t>1A10114313</t>
  </si>
  <si>
    <t>LD/52</t>
  </si>
  <si>
    <t>216666000000398434</t>
  </si>
  <si>
    <t>1A10114413</t>
  </si>
  <si>
    <t>LD/54</t>
  </si>
  <si>
    <t>216666000000398436</t>
  </si>
  <si>
    <t>1A10114513</t>
  </si>
  <si>
    <t>LD/507</t>
  </si>
  <si>
    <t>216666000001517019</t>
  </si>
  <si>
    <t>1A10114713</t>
  </si>
  <si>
    <t>LD/57</t>
  </si>
  <si>
    <t>216666000000398439</t>
  </si>
  <si>
    <t>1A10115413</t>
  </si>
  <si>
    <t>LD/506</t>
  </si>
  <si>
    <t>216666000001517015</t>
  </si>
  <si>
    <t>1A10116013</t>
  </si>
  <si>
    <t>LD/8</t>
  </si>
  <si>
    <t>216666000000839342</t>
  </si>
  <si>
    <t>1A10117413</t>
  </si>
  <si>
    <t>Slot Strainer</t>
  </si>
  <si>
    <t>LD/68</t>
  </si>
  <si>
    <t>216666000000398450</t>
  </si>
  <si>
    <t>1A10117613</t>
  </si>
  <si>
    <t>Demister Pad Support</t>
  </si>
  <si>
    <t>LD/69</t>
  </si>
  <si>
    <t>216666000000398451</t>
  </si>
  <si>
    <t>1A10118113</t>
  </si>
  <si>
    <t>LD/70</t>
  </si>
  <si>
    <t>216666000000398452</t>
  </si>
  <si>
    <t>1A10118213</t>
  </si>
  <si>
    <t>LD/73</t>
  </si>
  <si>
    <t>216666000000398455</t>
  </si>
  <si>
    <t>1A10118913</t>
  </si>
  <si>
    <t>LD/79</t>
  </si>
  <si>
    <t>216666000000398461</t>
  </si>
  <si>
    <t>1A10119013</t>
  </si>
  <si>
    <t>LD/82</t>
  </si>
  <si>
    <t>216666000000398464</t>
  </si>
  <si>
    <t>1A10119113</t>
  </si>
  <si>
    <t>LD/85</t>
  </si>
  <si>
    <t>216666000000398467</t>
  </si>
  <si>
    <t>1A10119213</t>
  </si>
  <si>
    <t>LD/87</t>
  </si>
  <si>
    <t>216666000000398469</t>
  </si>
  <si>
    <t>1A10119413</t>
  </si>
  <si>
    <t>LD/90</t>
  </si>
  <si>
    <t>216666000000398472</t>
  </si>
  <si>
    <t>1A10119613</t>
  </si>
  <si>
    <t>LD/93</t>
  </si>
  <si>
    <t>216666000000398475</t>
  </si>
  <si>
    <t>1A10119913</t>
  </si>
  <si>
    <t>LD/96</t>
  </si>
  <si>
    <t>216666000000398478</t>
  </si>
  <si>
    <t>1A10120113</t>
  </si>
  <si>
    <t>LD/508</t>
  </si>
  <si>
    <t>216666000001517023</t>
  </si>
  <si>
    <t>1A10120213</t>
  </si>
  <si>
    <t>LD/99</t>
  </si>
  <si>
    <t>216666000000398481</t>
  </si>
  <si>
    <t>1A10120613</t>
  </si>
  <si>
    <t>LD/504</t>
  </si>
  <si>
    <t>216666000001517007</t>
  </si>
  <si>
    <t>1A10120713</t>
  </si>
  <si>
    <t>LD/505</t>
  </si>
  <si>
    <t>216666000001517011</t>
  </si>
  <si>
    <t>1A10127613</t>
  </si>
  <si>
    <t>Tie Plate</t>
  </si>
  <si>
    <t>LD/390</t>
  </si>
  <si>
    <t>216666000000854019</t>
  </si>
  <si>
    <t>1A10129013</t>
  </si>
  <si>
    <t>LD/502</t>
  </si>
  <si>
    <t>216666000001513023</t>
  </si>
  <si>
    <t>1A10129313</t>
  </si>
  <si>
    <t>LD/18</t>
  </si>
  <si>
    <t>216666000000839334</t>
  </si>
  <si>
    <t>1A10130713</t>
  </si>
  <si>
    <t>LD/512</t>
  </si>
  <si>
    <t>216666000001517047</t>
  </si>
  <si>
    <t>1A10131013</t>
  </si>
  <si>
    <t>Header Plate</t>
  </si>
  <si>
    <t>LD/306</t>
  </si>
  <si>
    <t>216666000000839346</t>
  </si>
  <si>
    <t>1A10131113</t>
  </si>
  <si>
    <t>End Plate For Header</t>
  </si>
  <si>
    <t>LD/384</t>
  </si>
  <si>
    <t>216666000000839350</t>
  </si>
  <si>
    <t>1A10131213</t>
  </si>
  <si>
    <t>Clit for Baffle</t>
  </si>
  <si>
    <t>LD/385</t>
  </si>
  <si>
    <t>216666000000839354</t>
  </si>
  <si>
    <t>1A10134813</t>
  </si>
  <si>
    <t>LD/503</t>
  </si>
  <si>
    <t>216666000001517003</t>
  </si>
  <si>
    <t>1A10134913</t>
  </si>
  <si>
    <t>Flush Plate</t>
  </si>
  <si>
    <t>LD/509</t>
  </si>
  <si>
    <t>216666000001517031</t>
  </si>
  <si>
    <t>1A10135013</t>
  </si>
  <si>
    <t>Plate For Carryover Trap</t>
  </si>
  <si>
    <t>LD/510</t>
  </si>
  <si>
    <t>216666000001517039</t>
  </si>
  <si>
    <t>1A10135113</t>
  </si>
  <si>
    <t>Support For Carryover Trap</t>
  </si>
  <si>
    <t>LD/511</t>
  </si>
  <si>
    <t>216666000001517043</t>
  </si>
  <si>
    <t>1A10210313</t>
  </si>
  <si>
    <t>LD/105</t>
  </si>
  <si>
    <t>216666000000398487</t>
  </si>
  <si>
    <t>1A10210613</t>
  </si>
  <si>
    <t>LD/107</t>
  </si>
  <si>
    <t>216666000000398489</t>
  </si>
  <si>
    <t>1A10218413</t>
  </si>
  <si>
    <t>LD/208</t>
  </si>
  <si>
    <t>216666000000398589</t>
  </si>
  <si>
    <t>1A10311613</t>
  </si>
  <si>
    <t>LD/114</t>
  </si>
  <si>
    <t>216666000000398495</t>
  </si>
  <si>
    <t>1A10312613</t>
  </si>
  <si>
    <t>LD/115</t>
  </si>
  <si>
    <t>216666000000398496</t>
  </si>
  <si>
    <t>1A10313513</t>
  </si>
  <si>
    <t>LD/118</t>
  </si>
  <si>
    <t>216666000000398498</t>
  </si>
  <si>
    <t>1A10313813</t>
  </si>
  <si>
    <t>LD/121</t>
  </si>
  <si>
    <t>216666000000398500</t>
  </si>
  <si>
    <t>1A10317713</t>
  </si>
  <si>
    <t>Jacket Pipe</t>
  </si>
  <si>
    <t>LD/123</t>
  </si>
  <si>
    <t>216666000000398501</t>
  </si>
  <si>
    <t>1A10317813</t>
  </si>
  <si>
    <t>Sparger Pipe</t>
  </si>
  <si>
    <t>LD/124</t>
  </si>
  <si>
    <t>216666000000398502</t>
  </si>
  <si>
    <t>1A10317913</t>
  </si>
  <si>
    <t>CIP Cleaning Assembly - Pipe</t>
  </si>
  <si>
    <t>LD/125</t>
  </si>
  <si>
    <t>216666000000398503</t>
  </si>
  <si>
    <t>1A10318013</t>
  </si>
  <si>
    <t>LD/127</t>
  </si>
  <si>
    <t>216666000000398505</t>
  </si>
  <si>
    <t>1A10320013</t>
  </si>
  <si>
    <t>LD/131</t>
  </si>
  <si>
    <t>216666000000398508</t>
  </si>
  <si>
    <t>1A10331313</t>
  </si>
  <si>
    <t>Hing Pipe</t>
  </si>
  <si>
    <t>LD/387</t>
  </si>
  <si>
    <t>216666000000839358</t>
  </si>
  <si>
    <t>1A10412013</t>
  </si>
  <si>
    <t>LD/135</t>
  </si>
  <si>
    <t>216666000000398511</t>
  </si>
  <si>
    <t>1A10517913</t>
  </si>
  <si>
    <t>CIP Cleaning Assembly - Reducer</t>
  </si>
  <si>
    <t>LD/137</t>
  </si>
  <si>
    <t>216666000000398513</t>
  </si>
  <si>
    <t>1A10611813</t>
  </si>
  <si>
    <t>LD/140</t>
  </si>
  <si>
    <t>216666000000398516</t>
  </si>
  <si>
    <t>1A10617813</t>
  </si>
  <si>
    <t>Sparger Flange</t>
  </si>
  <si>
    <t>LD/141</t>
  </si>
  <si>
    <t>216666000000398517</t>
  </si>
  <si>
    <t>1A10617913</t>
  </si>
  <si>
    <t>CIP Cleaning Assembly - Flange</t>
  </si>
  <si>
    <t>LD/142</t>
  </si>
  <si>
    <t>216666000000398518</t>
  </si>
  <si>
    <t>1A10711713</t>
  </si>
  <si>
    <t>LD/145</t>
  </si>
  <si>
    <t>216666000000398521</t>
  </si>
  <si>
    <t>1A10810813</t>
  </si>
  <si>
    <t>LD/148</t>
  </si>
  <si>
    <t>216666000000398524</t>
  </si>
  <si>
    <t>1A10811913</t>
  </si>
  <si>
    <t>LD/151</t>
  </si>
  <si>
    <t>216666000000398527</t>
  </si>
  <si>
    <t>1A10817813</t>
  </si>
  <si>
    <t>Sparger Gasket</t>
  </si>
  <si>
    <t>LD/152</t>
  </si>
  <si>
    <t>216666000000398528</t>
  </si>
  <si>
    <t>1A10817913</t>
  </si>
  <si>
    <t>CIP Cleaning Assembly - Gasket</t>
  </si>
  <si>
    <t>LD/153</t>
  </si>
  <si>
    <t>216666000000398529</t>
  </si>
  <si>
    <t>1A11410713</t>
  </si>
  <si>
    <t>LD/161</t>
  </si>
  <si>
    <t>216666000000398537</t>
  </si>
  <si>
    <t>1A11412413</t>
  </si>
  <si>
    <t>LD/164</t>
  </si>
  <si>
    <t>216666000000398540</t>
  </si>
  <si>
    <t>1A11413913</t>
  </si>
  <si>
    <t>LD/167</t>
  </si>
  <si>
    <t>216666000000398543</t>
  </si>
  <si>
    <t>1A11511013</t>
  </si>
  <si>
    <t>LD/171</t>
  </si>
  <si>
    <t>216666000000398547</t>
  </si>
  <si>
    <t>1A11517913</t>
  </si>
  <si>
    <t>CIP Cleaning Assembly - Barrel Nipple</t>
  </si>
  <si>
    <t>LD/172</t>
  </si>
  <si>
    <t>216666000000398548</t>
  </si>
  <si>
    <t>1A11611113</t>
  </si>
  <si>
    <t>LD/175</t>
  </si>
  <si>
    <t>216666000000398551</t>
  </si>
  <si>
    <t>1A11711213</t>
  </si>
  <si>
    <t>LD/178</t>
  </si>
  <si>
    <t>216666000000398554</t>
  </si>
  <si>
    <t>1A11811313</t>
  </si>
  <si>
    <t>LD/181</t>
  </si>
  <si>
    <t>216666000000398557</t>
  </si>
  <si>
    <t>1A11911413</t>
  </si>
  <si>
    <t>LD/184</t>
  </si>
  <si>
    <t>216666000000398560</t>
  </si>
  <si>
    <t>1A12316613</t>
  </si>
  <si>
    <t>LD/513</t>
  </si>
  <si>
    <t>216666000001518003</t>
  </si>
  <si>
    <t>1A12511513</t>
  </si>
  <si>
    <t>LD/386</t>
  </si>
  <si>
    <t>216666000000839338</t>
  </si>
  <si>
    <t>1A12531413</t>
  </si>
  <si>
    <t>Hing Rod</t>
  </si>
  <si>
    <t>LD/388</t>
  </si>
  <si>
    <t>216666000000839362</t>
  </si>
  <si>
    <t>1A12717313</t>
  </si>
  <si>
    <t>LD/193</t>
  </si>
  <si>
    <t>216666000000398569</t>
  </si>
  <si>
    <t>1A12814113</t>
  </si>
  <si>
    <t>LD/195</t>
  </si>
  <si>
    <t>216666000000398571</t>
  </si>
  <si>
    <t>1A12913713</t>
  </si>
  <si>
    <t>LD/207</t>
  </si>
  <si>
    <t>216666000000398588</t>
  </si>
  <si>
    <t>1A13013013</t>
  </si>
  <si>
    <t>LD/200</t>
  </si>
  <si>
    <t>216666000000398576</t>
  </si>
  <si>
    <t>1A13013213</t>
  </si>
  <si>
    <t>LD/203</t>
  </si>
  <si>
    <t>216666000000398579</t>
  </si>
  <si>
    <t>1A13218313</t>
  </si>
  <si>
    <t>LD/206</t>
  </si>
  <si>
    <t>216666000000398582</t>
  </si>
  <si>
    <t>1A20323913</t>
  </si>
  <si>
    <t>LD/389</t>
  </si>
  <si>
    <t>216666000000854003</t>
  </si>
  <si>
    <t>PDS - Site Tank</t>
  </si>
  <si>
    <t>1A10110421</t>
  </si>
  <si>
    <t>LD/210</t>
  </si>
  <si>
    <t>216666000000689007</t>
  </si>
  <si>
    <t>1A10112121</t>
  </si>
  <si>
    <t>LD/220</t>
  </si>
  <si>
    <t>216666000000689035</t>
  </si>
  <si>
    <t>1A10112321</t>
  </si>
  <si>
    <t>LD/221</t>
  </si>
  <si>
    <t>216666000000689039</t>
  </si>
  <si>
    <t>1A10112821</t>
  </si>
  <si>
    <t>LD/222</t>
  </si>
  <si>
    <t>216666000000689043</t>
  </si>
  <si>
    <t>1A10112921</t>
  </si>
  <si>
    <t>LD/223</t>
  </si>
  <si>
    <t>216666000000689047</t>
  </si>
  <si>
    <t>1A10116021</t>
  </si>
  <si>
    <t>LD/225</t>
  </si>
  <si>
    <t>216666000000689055</t>
  </si>
  <si>
    <t>1A10118621</t>
  </si>
  <si>
    <t>LD/229</t>
  </si>
  <si>
    <t>216666000000689071</t>
  </si>
  <si>
    <t>1A10119121</t>
  </si>
  <si>
    <t>LD/231</t>
  </si>
  <si>
    <t>216666000000689079</t>
  </si>
  <si>
    <t>1A10119621</t>
  </si>
  <si>
    <t>Pad Plate for SG - LG</t>
  </si>
  <si>
    <t>LD/232</t>
  </si>
  <si>
    <t>216666000000689083</t>
  </si>
  <si>
    <t>1A10120621</t>
  </si>
  <si>
    <t>LD/237</t>
  </si>
  <si>
    <t>216666000000689103</t>
  </si>
  <si>
    <t>1A10120721</t>
  </si>
  <si>
    <t>LD/238</t>
  </si>
  <si>
    <t>216666000000689107</t>
  </si>
  <si>
    <t>1A10120921</t>
  </si>
  <si>
    <t>Pad Plate For Manhole</t>
  </si>
  <si>
    <t>LD/239</t>
  </si>
  <si>
    <t>216666000000689111</t>
  </si>
  <si>
    <t>1A10121621</t>
  </si>
  <si>
    <t>Annular Plate</t>
  </si>
  <si>
    <t>LD/241</t>
  </si>
  <si>
    <t>216666000000689119</t>
  </si>
  <si>
    <t>1A10121721</t>
  </si>
  <si>
    <t>Back Plate</t>
  </si>
  <si>
    <t>LD/242</t>
  </si>
  <si>
    <t>216666000000689123</t>
  </si>
  <si>
    <t>1A10121821</t>
  </si>
  <si>
    <t>Batten Plate</t>
  </si>
  <si>
    <t>LD/243</t>
  </si>
  <si>
    <t>216666000000689127</t>
  </si>
  <si>
    <t>1A10122121</t>
  </si>
  <si>
    <t>Box Plate</t>
  </si>
  <si>
    <t>LD/246</t>
  </si>
  <si>
    <t>216666000000689135</t>
  </si>
  <si>
    <t>1A10122321</t>
  </si>
  <si>
    <t>Bracing Plate</t>
  </si>
  <si>
    <t>LD/248</t>
  </si>
  <si>
    <t>216666000000689143</t>
  </si>
  <si>
    <t>1A10122421</t>
  </si>
  <si>
    <t>Bracket Base Plate</t>
  </si>
  <si>
    <t>LD/249</t>
  </si>
  <si>
    <t>216666000000689147</t>
  </si>
  <si>
    <t>1A10122521</t>
  </si>
  <si>
    <t>Bracket Pad Plate</t>
  </si>
  <si>
    <t>LD/250</t>
  </si>
  <si>
    <t>216666000000689151</t>
  </si>
  <si>
    <t>1A10122721</t>
  </si>
  <si>
    <t>Central Column</t>
  </si>
  <si>
    <t>LD/252</t>
  </si>
  <si>
    <t>216666000000689159</t>
  </si>
  <si>
    <t>1A10122821</t>
  </si>
  <si>
    <t>Central Column Bottom Plate</t>
  </si>
  <si>
    <t>LD/253</t>
  </si>
  <si>
    <t>216666000000689163</t>
  </si>
  <si>
    <t>1A10122921</t>
  </si>
  <si>
    <t>Central Drum Top Plate</t>
  </si>
  <si>
    <t>LD/254</t>
  </si>
  <si>
    <t>216666000000689167</t>
  </si>
  <si>
    <t>1A10123021</t>
  </si>
  <si>
    <t>Central Pipe Cone Plate</t>
  </si>
  <si>
    <t>LD/255</t>
  </si>
  <si>
    <t>216666000000689171</t>
  </si>
  <si>
    <t>1A10123221</t>
  </si>
  <si>
    <t>Chequred Plate</t>
  </si>
  <si>
    <t>LD/257</t>
  </si>
  <si>
    <t>216666000000689179</t>
  </si>
  <si>
    <t>1A10123521</t>
  </si>
  <si>
    <t>LD/258</t>
  </si>
  <si>
    <t>216666000000689183</t>
  </si>
  <si>
    <t>1A10124021</t>
  </si>
  <si>
    <t>Dome Circular</t>
  </si>
  <si>
    <t>LD/262</t>
  </si>
  <si>
    <t>216666000000689199</t>
  </si>
  <si>
    <t>1A10124221</t>
  </si>
  <si>
    <t>Foundation Support Plate</t>
  </si>
  <si>
    <t>LD/264</t>
  </si>
  <si>
    <t>216666000000689207</t>
  </si>
  <si>
    <t>1A10124521</t>
  </si>
  <si>
    <t>Gusset Plate For Drum</t>
  </si>
  <si>
    <t>LD/267</t>
  </si>
  <si>
    <t>216666000000689219</t>
  </si>
  <si>
    <t>1A10124621</t>
  </si>
  <si>
    <t>Gusset Plate For Nozzle</t>
  </si>
  <si>
    <t>LD/268</t>
  </si>
  <si>
    <t>216666000000689223</t>
  </si>
  <si>
    <t>1A10124821</t>
  </si>
  <si>
    <t>Impingement Plate For Nozzle</t>
  </si>
  <si>
    <t>LD/270</t>
  </si>
  <si>
    <t>216666000000689227</t>
  </si>
  <si>
    <t>1A10124921</t>
  </si>
  <si>
    <t>Inclined Beam Plate</t>
  </si>
  <si>
    <t>LD/271</t>
  </si>
  <si>
    <t>216666000000689231</t>
  </si>
  <si>
    <t>1A10125321</t>
  </si>
  <si>
    <t>Launder</t>
  </si>
  <si>
    <t>LD/272</t>
  </si>
  <si>
    <t>216666000000689235</t>
  </si>
  <si>
    <t>1A10125421</t>
  </si>
  <si>
    <t>Nozzle Closer Plate</t>
  </si>
  <si>
    <t>LD/273</t>
  </si>
  <si>
    <t>216666000000689239</t>
  </si>
  <si>
    <t>1A10125521</t>
  </si>
  <si>
    <t>Pad Plate For Central Drum</t>
  </si>
  <si>
    <t>LD/274</t>
  </si>
  <si>
    <t>216666000000689243</t>
  </si>
  <si>
    <t>1A10125621</t>
  </si>
  <si>
    <t>Pad Plate For Central Pipe Support Ring Angle</t>
  </si>
  <si>
    <t>LD/275</t>
  </si>
  <si>
    <t>216666000000689247</t>
  </si>
  <si>
    <t>1A10125721</t>
  </si>
  <si>
    <t>Pad Plate For Cone Support Angle</t>
  </si>
  <si>
    <t>LD/276</t>
  </si>
  <si>
    <t>216666000000689251</t>
  </si>
  <si>
    <t>1A10125821</t>
  </si>
  <si>
    <t>Pad Plate For Inclined Support Angle</t>
  </si>
  <si>
    <t>LD/277</t>
  </si>
  <si>
    <t>216666000000689255</t>
  </si>
  <si>
    <t>1A10126021</t>
  </si>
  <si>
    <t>R.F. Pad Plate For Curb Channel</t>
  </si>
  <si>
    <t>LD/279</t>
  </si>
  <si>
    <t>216666000000689263</t>
  </si>
  <si>
    <t>1A10126121</t>
  </si>
  <si>
    <t>R.F. Pad Plate For Rafter</t>
  </si>
  <si>
    <t>LD/280</t>
  </si>
  <si>
    <t>216666000000689267</t>
  </si>
  <si>
    <t>1A10126221</t>
  </si>
  <si>
    <t>Rafter Closer Plate</t>
  </si>
  <si>
    <t>LD/281</t>
  </si>
  <si>
    <t>216666000000689271</t>
  </si>
  <si>
    <t>1A10126321</t>
  </si>
  <si>
    <t>Railing Flat</t>
  </si>
  <si>
    <t>LD/282</t>
  </si>
  <si>
    <t>216666000000689275</t>
  </si>
  <si>
    <t>1A10126621</t>
  </si>
  <si>
    <t>Seat Cleat</t>
  </si>
  <si>
    <t>LD/285</t>
  </si>
  <si>
    <t>216666000000689287</t>
  </si>
  <si>
    <t>1A10126721</t>
  </si>
  <si>
    <t>Roof Plate</t>
  </si>
  <si>
    <t>LD/286</t>
  </si>
  <si>
    <t>216666000000689291</t>
  </si>
  <si>
    <t>1A10126821</t>
  </si>
  <si>
    <t>Spacer Plate</t>
  </si>
  <si>
    <t>LD/287</t>
  </si>
  <si>
    <t>216666000000689295</t>
  </si>
  <si>
    <t>1A10126921</t>
  </si>
  <si>
    <t>Splice Plate</t>
  </si>
  <si>
    <t>LD/288</t>
  </si>
  <si>
    <t>216666000000689299</t>
  </si>
  <si>
    <t>1A10127521</t>
  </si>
  <si>
    <t>LD/294</t>
  </si>
  <si>
    <t>216666000000689323</t>
  </si>
  <si>
    <t>1A10127621</t>
  </si>
  <si>
    <t>LD/295</t>
  </si>
  <si>
    <t>216666000000689327</t>
  </si>
  <si>
    <t>1A10127721</t>
  </si>
  <si>
    <t>Top - Center Drum</t>
  </si>
  <si>
    <t>LD/296</t>
  </si>
  <si>
    <t>216666000000689331</t>
  </si>
  <si>
    <t>1A10127921</t>
  </si>
  <si>
    <t>Top Inside Circle</t>
  </si>
  <si>
    <t>LD/298</t>
  </si>
  <si>
    <t>216666000000689339</t>
  </si>
  <si>
    <t>1A10128021</t>
  </si>
  <si>
    <t>Truss Column Bottom Plate</t>
  </si>
  <si>
    <t>LD/299</t>
  </si>
  <si>
    <t>216666000000689343</t>
  </si>
  <si>
    <t>1A10128121</t>
  </si>
  <si>
    <t>Truss Column Top Plate</t>
  </si>
  <si>
    <t>LD/300</t>
  </si>
  <si>
    <t>216666000000689347</t>
  </si>
  <si>
    <t>1A10128421</t>
  </si>
  <si>
    <t>Vertical Column</t>
  </si>
  <si>
    <t>LD/303</t>
  </si>
  <si>
    <t>216666000000689359</t>
  </si>
  <si>
    <t>1A10128621</t>
  </si>
  <si>
    <t>Weir Angle Ring</t>
  </si>
  <si>
    <t>LD/305</t>
  </si>
  <si>
    <t>216666000000689367</t>
  </si>
  <si>
    <t>1A10133321</t>
  </si>
  <si>
    <t>Pad Plate for Anchor Chair</t>
  </si>
  <si>
    <t>LD/453</t>
  </si>
  <si>
    <t>216666000000991091</t>
  </si>
  <si>
    <t>1A10210321</t>
  </si>
  <si>
    <t>LD/209</t>
  </si>
  <si>
    <t>216666000000689003</t>
  </si>
  <si>
    <t>1A10218421</t>
  </si>
  <si>
    <t>LD/228</t>
  </si>
  <si>
    <t>216666000000689067</t>
  </si>
  <si>
    <t>1A10219821</t>
  </si>
  <si>
    <t>LD/234</t>
  </si>
  <si>
    <t>216666000000689091</t>
  </si>
  <si>
    <t>1A10311621</t>
  </si>
  <si>
    <t>LD/215</t>
  </si>
  <si>
    <t>216666000000689019</t>
  </si>
  <si>
    <t>1A10320021</t>
  </si>
  <si>
    <t>LD/235</t>
  </si>
  <si>
    <t>216666000000689095</t>
  </si>
  <si>
    <t>1A10326421</t>
  </si>
  <si>
    <t>Railing Pipe</t>
  </si>
  <si>
    <t>LD/283</t>
  </si>
  <si>
    <t>216666000000689279</t>
  </si>
  <si>
    <t>1A10326521</t>
  </si>
  <si>
    <t>Raling Post</t>
  </si>
  <si>
    <t>LD/284</t>
  </si>
  <si>
    <t>216666000000689283</t>
  </si>
  <si>
    <t>1A10328321</t>
  </si>
  <si>
    <t>LD/302</t>
  </si>
  <si>
    <t>216666000000689355</t>
  </si>
  <si>
    <t>1A10412021</t>
  </si>
  <si>
    <t>LD/219</t>
  </si>
  <si>
    <t>216666000000689031</t>
  </si>
  <si>
    <t>1A10520321</t>
  </si>
  <si>
    <t>Nozzle Reducer</t>
  </si>
  <si>
    <t>LD/236</t>
  </si>
  <si>
    <t>216666000000689099</t>
  </si>
  <si>
    <t>1A10611821</t>
  </si>
  <si>
    <t>LD/217</t>
  </si>
  <si>
    <t>216666000000682213</t>
  </si>
  <si>
    <t>1A10621921</t>
  </si>
  <si>
    <t>LD/244</t>
  </si>
  <si>
    <t>216666000000682217</t>
  </si>
  <si>
    <t>1A10711721</t>
  </si>
  <si>
    <t>LD/216</t>
  </si>
  <si>
    <t>216666000000689023</t>
  </si>
  <si>
    <t>1A10811921</t>
  </si>
  <si>
    <t>LD/218</t>
  </si>
  <si>
    <t>216666000000689027</t>
  </si>
  <si>
    <t>1A10824421</t>
  </si>
  <si>
    <t>Gasket For Central Pipe</t>
  </si>
  <si>
    <t>LD/266</t>
  </si>
  <si>
    <t>216666000000689215</t>
  </si>
  <si>
    <t>Pipe Clamp</t>
  </si>
  <si>
    <t>1A10924721</t>
  </si>
  <si>
    <t>Hose Pipe Clip</t>
  </si>
  <si>
    <t>LD/269</t>
  </si>
  <si>
    <t>216666000000682221</t>
  </si>
  <si>
    <t>1A11419721</t>
  </si>
  <si>
    <t>LD/233</t>
  </si>
  <si>
    <t>216666000000689087</t>
  </si>
  <si>
    <t>1A11422021</t>
  </si>
  <si>
    <t>LD/245</t>
  </si>
  <si>
    <t>216666000000689131</t>
  </si>
  <si>
    <t>1A11611121</t>
  </si>
  <si>
    <t>LD/211</t>
  </si>
  <si>
    <t>216666000000689011</t>
  </si>
  <si>
    <t>1A11711221</t>
  </si>
  <si>
    <t>LD/212</t>
  </si>
  <si>
    <t>216666000000682205</t>
  </si>
  <si>
    <t>1A11811321</t>
  </si>
  <si>
    <t>LD/213</t>
  </si>
  <si>
    <t>216666000000682209</t>
  </si>
  <si>
    <t>1A11911421</t>
  </si>
  <si>
    <t>LD/214</t>
  </si>
  <si>
    <t>216666000000689015</t>
  </si>
  <si>
    <t>1A12316121</t>
  </si>
  <si>
    <t>LD/226</t>
  </si>
  <si>
    <t>216666000000689059</t>
  </si>
  <si>
    <t>1A12511521</t>
  </si>
  <si>
    <t>Handle rod</t>
  </si>
  <si>
    <t>LD/230</t>
  </si>
  <si>
    <t>216666000000689075</t>
  </si>
  <si>
    <t>1A12522621</t>
  </si>
  <si>
    <t>Center Support Rod</t>
  </si>
  <si>
    <t>LD/251</t>
  </si>
  <si>
    <t>216666000000689155</t>
  </si>
  <si>
    <t>1A12523621</t>
  </si>
  <si>
    <t>Cross Bar</t>
  </si>
  <si>
    <t>LD/259</t>
  </si>
  <si>
    <t>216666000000689187</t>
  </si>
  <si>
    <t>1A12524321</t>
  </si>
  <si>
    <t>Frame Bar</t>
  </si>
  <si>
    <t>LD/265</t>
  </si>
  <si>
    <t>216666000000689211</t>
  </si>
  <si>
    <t>1A12528221</t>
  </si>
  <si>
    <t>Twisted Bar</t>
  </si>
  <si>
    <t>LD/301</t>
  </si>
  <si>
    <t>216666000000689351</t>
  </si>
  <si>
    <t>1A12717321</t>
  </si>
  <si>
    <t>LD/227</t>
  </si>
  <si>
    <t>216666000000689063</t>
  </si>
  <si>
    <t>1A12913721</t>
  </si>
  <si>
    <t>LD/224</t>
  </si>
  <si>
    <t>216666000000689051</t>
  </si>
  <si>
    <t>1A20121521</t>
  </si>
  <si>
    <t>Angle Clit</t>
  </si>
  <si>
    <t>LD/240</t>
  </si>
  <si>
    <t>216666000000689115</t>
  </si>
  <si>
    <t>1A20123821</t>
  </si>
  <si>
    <t>Curb Angle</t>
  </si>
  <si>
    <t>LD/260</t>
  </si>
  <si>
    <t>216666000000689191</t>
  </si>
  <si>
    <t>1A20127021</t>
  </si>
  <si>
    <t>Steps Angle</t>
  </si>
  <si>
    <t>LD/289</t>
  </si>
  <si>
    <t>216666000000689303</t>
  </si>
  <si>
    <t>1A20127221</t>
  </si>
  <si>
    <t>LD/291</t>
  </si>
  <si>
    <t>216666000000689311</t>
  </si>
  <si>
    <t>1A20227321</t>
  </si>
  <si>
    <t>LD/292</t>
  </si>
  <si>
    <t>216666000000689315</t>
  </si>
  <si>
    <t>1A20227821</t>
  </si>
  <si>
    <t>Top Beams</t>
  </si>
  <si>
    <t>LD/297</t>
  </si>
  <si>
    <t>216666000000689335</t>
  </si>
  <si>
    <t>1A20228521</t>
  </si>
  <si>
    <t>Wall Beam</t>
  </si>
  <si>
    <t>LD/304</t>
  </si>
  <si>
    <t>216666000000689363</t>
  </si>
  <si>
    <t>1A20322221</t>
  </si>
  <si>
    <t>Bracing Channel</t>
  </si>
  <si>
    <t>LD/247</t>
  </si>
  <si>
    <t>216666000000689139</t>
  </si>
  <si>
    <t>1A20323121</t>
  </si>
  <si>
    <t>Rafter</t>
  </si>
  <si>
    <t>LD/256</t>
  </si>
  <si>
    <t>216666000000689175</t>
  </si>
  <si>
    <t>1A20323921</t>
  </si>
  <si>
    <t>LD/261</t>
  </si>
  <si>
    <t>216666000000689195</t>
  </si>
  <si>
    <t>1A20325921</t>
  </si>
  <si>
    <t>Plateform Support Channel</t>
  </si>
  <si>
    <t>LD/278</t>
  </si>
  <si>
    <t>216666000000689259</t>
  </si>
  <si>
    <t>1A20327121</t>
  </si>
  <si>
    <t>Stiffner Channel</t>
  </si>
  <si>
    <t>LD/290</t>
  </si>
  <si>
    <t>216666000000689307</t>
  </si>
  <si>
    <t>1A20327421</t>
  </si>
  <si>
    <t>Support Channel</t>
  </si>
  <si>
    <t>LD/293</t>
  </si>
  <si>
    <t>216666000000689319</t>
  </si>
  <si>
    <t>Foundation Bolt</t>
  </si>
  <si>
    <t>1A20524121</t>
  </si>
  <si>
    <t>LD/263</t>
  </si>
  <si>
    <t>216666000000689203</t>
  </si>
  <si>
    <t>Piping PD Sheet</t>
  </si>
  <si>
    <t>Ball Valve</t>
  </si>
  <si>
    <t>Discharge Valve</t>
  </si>
  <si>
    <t>3F#150</t>
  </si>
  <si>
    <t>304304PTF</t>
  </si>
  <si>
    <t>LD/417</t>
  </si>
  <si>
    <t>216666000000930007</t>
  </si>
  <si>
    <t>Socket &amp; Plug of Sealing In</t>
  </si>
  <si>
    <t>1</t>
  </si>
  <si>
    <t>NPT</t>
  </si>
  <si>
    <t>Parallel</t>
  </si>
  <si>
    <t>LD/490</t>
  </si>
  <si>
    <t>216666000001335023</t>
  </si>
  <si>
    <t>Matching Flange of Cold Out</t>
  </si>
  <si>
    <t>ANSI B16.5</t>
  </si>
  <si>
    <t>LD/464</t>
  </si>
  <si>
    <t>216666000000975011</t>
  </si>
  <si>
    <t>Spool Piece - 2</t>
  </si>
  <si>
    <t>LD/424</t>
  </si>
  <si>
    <t>216666000000922055</t>
  </si>
  <si>
    <t>Butterfly Valve</t>
  </si>
  <si>
    <t>Steam Condensate In Valve</t>
  </si>
  <si>
    <t>SOWAF</t>
  </si>
  <si>
    <t>CI304EPM</t>
  </si>
  <si>
    <t>LD/484</t>
  </si>
  <si>
    <t>216666000001296179</t>
  </si>
  <si>
    <t>Bypass Line Spool Piece</t>
  </si>
  <si>
    <t>LD/420</t>
  </si>
  <si>
    <t>216666000000954019</t>
  </si>
  <si>
    <t>Matching Flange of Pump</t>
  </si>
  <si>
    <t>LD/430</t>
  </si>
  <si>
    <t>216666000000917555</t>
  </si>
  <si>
    <t>Hot In Valve</t>
  </si>
  <si>
    <t>LD/460</t>
  </si>
  <si>
    <t>216666000000982011</t>
  </si>
  <si>
    <t>Drain Valve</t>
  </si>
  <si>
    <t>LD/418</t>
  </si>
  <si>
    <t>216666000000933003</t>
  </si>
  <si>
    <t>Non Return Valve</t>
  </si>
  <si>
    <t>Suction NRV Valve</t>
  </si>
  <si>
    <t>NNS#150</t>
  </si>
  <si>
    <t>304304EPM</t>
  </si>
  <si>
    <t>LD/521</t>
  </si>
  <si>
    <t>216666000001574003</t>
  </si>
  <si>
    <t>Matching Flange of Hot In</t>
  </si>
  <si>
    <t>LD/454</t>
  </si>
  <si>
    <t>216666000000976003</t>
  </si>
  <si>
    <t>Matching Flange of Valve</t>
  </si>
  <si>
    <t>LD/425</t>
  </si>
  <si>
    <t>216666000000922059</t>
  </si>
  <si>
    <t>Steam Condensate Out Valve</t>
  </si>
  <si>
    <t>LD/485</t>
  </si>
  <si>
    <t>216666000001296183</t>
  </si>
  <si>
    <t>Matching Flange of Bypass Valve</t>
  </si>
  <si>
    <t>LD/421</t>
  </si>
  <si>
    <t>216666000000954023</t>
  </si>
  <si>
    <t>Stubend for Matching Flange</t>
  </si>
  <si>
    <t>Long</t>
  </si>
  <si>
    <t>LD/431</t>
  </si>
  <si>
    <t>216666000000917559</t>
  </si>
  <si>
    <t>Hot Out Valve</t>
  </si>
  <si>
    <t>LD/461</t>
  </si>
  <si>
    <t>216666000000982015</t>
  </si>
  <si>
    <t>Discharge NRV Valve</t>
  </si>
  <si>
    <t>LD/433</t>
  </si>
  <si>
    <t>216666000000949087</t>
  </si>
  <si>
    <t>Water Inlet Valve</t>
  </si>
  <si>
    <t>LD/522</t>
  </si>
  <si>
    <t>216666000001574007</t>
  </si>
  <si>
    <t>Matching Flange of Hot Out</t>
  </si>
  <si>
    <t>LD/455</t>
  </si>
  <si>
    <t>216666000000976007</t>
  </si>
  <si>
    <t>Stubend for Matching Flange of Valve</t>
  </si>
  <si>
    <t>LD/426</t>
  </si>
  <si>
    <t>216666000000922063</t>
  </si>
  <si>
    <t>Barrel Nipple Of Sealing In</t>
  </si>
  <si>
    <t>Threaded One End</t>
  </si>
  <si>
    <t>LD/487</t>
  </si>
  <si>
    <t>216666000001335003</t>
  </si>
  <si>
    <t>Bypass Valve</t>
  </si>
  <si>
    <t>LD/422</t>
  </si>
  <si>
    <t>216666000000954027</t>
  </si>
  <si>
    <t>NBW - 1</t>
  </si>
  <si>
    <t>M10</t>
  </si>
  <si>
    <t>LD/432</t>
  </si>
  <si>
    <t>216666000000917563</t>
  </si>
  <si>
    <t>Barrel Nipple of Steam Trap</t>
  </si>
  <si>
    <t>LD/480</t>
  </si>
  <si>
    <t>216666000001296163</t>
  </si>
  <si>
    <t>40 x 25</t>
  </si>
  <si>
    <t>Concentric</t>
  </si>
  <si>
    <t>LD/434</t>
  </si>
  <si>
    <t>216666000000954003</t>
  </si>
  <si>
    <t>Connecting Flange for Water Inlet line</t>
  </si>
  <si>
    <t>LD/523</t>
  </si>
  <si>
    <t>216666000001574011</t>
  </si>
  <si>
    <t>LD/456</t>
  </si>
  <si>
    <t>216666000000976011</t>
  </si>
  <si>
    <t>NBW - 2</t>
  </si>
  <si>
    <t>LD/427</t>
  </si>
  <si>
    <t>216666000000922067</t>
  </si>
  <si>
    <t>Barrel Nipple Of Sealing Out</t>
  </si>
  <si>
    <t>LD/488</t>
  </si>
  <si>
    <t>216666000001335007</t>
  </si>
  <si>
    <t>Short Radius</t>
  </si>
  <si>
    <t>ASME B16.9</t>
  </si>
  <si>
    <t>LD/423</t>
  </si>
  <si>
    <t>216666000000954031</t>
  </si>
  <si>
    <t>NACF Gasket - 1</t>
  </si>
  <si>
    <t>IS 2712</t>
  </si>
  <si>
    <t>LD/437</t>
  </si>
  <si>
    <t>216666000000922043</t>
  </si>
  <si>
    <t>Connecting Flange for Trap &amp; Strainer</t>
  </si>
  <si>
    <t>LD/481</t>
  </si>
  <si>
    <t>216666000001296167</t>
  </si>
  <si>
    <t>Matching Flange of Control Valve</t>
  </si>
  <si>
    <t>LD/435</t>
  </si>
  <si>
    <t>216666000000954007</t>
  </si>
  <si>
    <t>Stubend For Connecting Flange</t>
  </si>
  <si>
    <t>LD/524</t>
  </si>
  <si>
    <t>216666000001574015</t>
  </si>
  <si>
    <t>LD/457</t>
  </si>
  <si>
    <t>216666000000976015</t>
  </si>
  <si>
    <t>NACF Gasket - 2</t>
  </si>
  <si>
    <t>LD/428</t>
  </si>
  <si>
    <t>216666000000922071</t>
  </si>
  <si>
    <t>Socket &amp; Plug of Sealing Out</t>
  </si>
  <si>
    <t>LD/491</t>
  </si>
  <si>
    <t>216666000001335015</t>
  </si>
  <si>
    <t>Matching Flange of Flow Meter</t>
  </si>
  <si>
    <t>LD/462</t>
  </si>
  <si>
    <t>216666000000975003</t>
  </si>
  <si>
    <t>Spool Piece - 1</t>
  </si>
  <si>
    <t>LD/438</t>
  </si>
  <si>
    <t>216666000000922047</t>
  </si>
  <si>
    <t>NACF Gasket for Trap &amp; Strainer</t>
  </si>
  <si>
    <t>LD/482</t>
  </si>
  <si>
    <t>216666000001296171</t>
  </si>
  <si>
    <t>Fluid In Valve</t>
  </si>
  <si>
    <t>LD/436</t>
  </si>
  <si>
    <t>216666000000954011</t>
  </si>
  <si>
    <t>Cold In Valve</t>
  </si>
  <si>
    <t>LD/458</t>
  </si>
  <si>
    <t>216666000000982003</t>
  </si>
  <si>
    <t>Suction Valve</t>
  </si>
  <si>
    <t>LD/429</t>
  </si>
  <si>
    <t>216666000000922075</t>
  </si>
  <si>
    <t>NPT Ball Valve</t>
  </si>
  <si>
    <t>LD/489</t>
  </si>
  <si>
    <t>216666000001335019</t>
  </si>
  <si>
    <t>Matching Flange of Cold In</t>
  </si>
  <si>
    <t>LD/463</t>
  </si>
  <si>
    <t>216666000000975007</t>
  </si>
  <si>
    <t>Eccentric Reducer</t>
  </si>
  <si>
    <t>Eccentric</t>
  </si>
  <si>
    <t>LD/439</t>
  </si>
  <si>
    <t>216666000000922051</t>
  </si>
  <si>
    <t>NACF Gasket for Valve</t>
  </si>
  <si>
    <t>LD/483</t>
  </si>
  <si>
    <t>216666000001296175</t>
  </si>
  <si>
    <t>Fluid Out Valve</t>
  </si>
  <si>
    <t>LD/419</t>
  </si>
  <si>
    <t>216666000000954015</t>
  </si>
  <si>
    <t>Cold Out Valve</t>
  </si>
  <si>
    <t>LD/459</t>
  </si>
  <si>
    <t>216666000000982007</t>
  </si>
  <si>
    <t>Structure PD Sheet</t>
  </si>
  <si>
    <t>Second Coat Paint</t>
  </si>
  <si>
    <t>LD/532</t>
  </si>
  <si>
    <t>216666000001668011</t>
  </si>
  <si>
    <t>Thinner</t>
  </si>
  <si>
    <t>LD/533</t>
  </si>
  <si>
    <t>216666000001668015</t>
  </si>
  <si>
    <t>Primer</t>
  </si>
  <si>
    <t>LD/530</t>
  </si>
  <si>
    <t>216666000001668003</t>
  </si>
  <si>
    <t>First Coat Paint</t>
  </si>
  <si>
    <t>LD/531</t>
  </si>
  <si>
    <t>216666000001668007</t>
  </si>
  <si>
    <t>1C10112822</t>
  </si>
  <si>
    <t>LD/407</t>
  </si>
  <si>
    <t>216666000000880191</t>
  </si>
  <si>
    <t>1C10112922</t>
  </si>
  <si>
    <t>LD/406</t>
  </si>
  <si>
    <t>216666000000880187</t>
  </si>
  <si>
    <t>1C10121722</t>
  </si>
  <si>
    <t>LD/400</t>
  </si>
  <si>
    <t>216666000000880207</t>
  </si>
  <si>
    <t>1C10122322</t>
  </si>
  <si>
    <t>LD/520</t>
  </si>
  <si>
    <t>216666000001593499</t>
  </si>
  <si>
    <t>1C10123522</t>
  </si>
  <si>
    <t>LD/409</t>
  </si>
  <si>
    <t>216666000000880219</t>
  </si>
  <si>
    <t>1C10126722</t>
  </si>
  <si>
    <t>LD/399</t>
  </si>
  <si>
    <t>216666000000880199</t>
  </si>
  <si>
    <t>1C10126922</t>
  </si>
  <si>
    <t>Splice Plate - I</t>
  </si>
  <si>
    <t>LD/405</t>
  </si>
  <si>
    <t>216666000000880175</t>
  </si>
  <si>
    <t>1C10129022</t>
  </si>
  <si>
    <t>LD/486</t>
  </si>
  <si>
    <t>216666000001304379</t>
  </si>
  <si>
    <t>1C10132022</t>
  </si>
  <si>
    <t>Stiffener Plate</t>
  </si>
  <si>
    <t>LD/404</t>
  </si>
  <si>
    <t>216666000000880167</t>
  </si>
  <si>
    <t>1C10132722</t>
  </si>
  <si>
    <t>Web Plate</t>
  </si>
  <si>
    <t>LD/465</t>
  </si>
  <si>
    <t>216666000000959187</t>
  </si>
  <si>
    <t>1C10133022</t>
  </si>
  <si>
    <t>Rail Post Base Plate</t>
  </si>
  <si>
    <t>LD/466</t>
  </si>
  <si>
    <t>216666000000962019</t>
  </si>
  <si>
    <t>1C10133522</t>
  </si>
  <si>
    <t>Cranked Plate</t>
  </si>
  <si>
    <t>LD/441</t>
  </si>
  <si>
    <t>216666000000936183</t>
  </si>
  <si>
    <t>1C10133922</t>
  </si>
  <si>
    <t>Flange Plate</t>
  </si>
  <si>
    <t>LD/440</t>
  </si>
  <si>
    <t>216666000000936167</t>
  </si>
  <si>
    <t>1C10134222</t>
  </si>
  <si>
    <t>Splice Plate - II</t>
  </si>
  <si>
    <t>LD/478</t>
  </si>
  <si>
    <t>216666000001256003</t>
  </si>
  <si>
    <t>1C10221522</t>
  </si>
  <si>
    <t>Support Clit</t>
  </si>
  <si>
    <t>125</t>
  </si>
  <si>
    <t>LD/467</t>
  </si>
  <si>
    <t>216666000000962023</t>
  </si>
  <si>
    <t>1C10221822</t>
  </si>
  <si>
    <t>LD/402</t>
  </si>
  <si>
    <t>216666000000880215</t>
  </si>
  <si>
    <t>1C10233222</t>
  </si>
  <si>
    <t>Toe Guard</t>
  </si>
  <si>
    <t>LD/442</t>
  </si>
  <si>
    <t>216666000000936187</t>
  </si>
  <si>
    <t>1C10326522</t>
  </si>
  <si>
    <t>Railing Post</t>
  </si>
  <si>
    <t>Part I</t>
  </si>
  <si>
    <t>Class B</t>
  </si>
  <si>
    <t>LD/468</t>
  </si>
  <si>
    <t>216666000000962011</t>
  </si>
  <si>
    <t>1C10332822</t>
  </si>
  <si>
    <t>Top Railing</t>
  </si>
  <si>
    <t>LD/469</t>
  </si>
  <si>
    <t>216666000000962015</t>
  </si>
  <si>
    <t>1C10332922</t>
  </si>
  <si>
    <t>Middle Railing</t>
  </si>
  <si>
    <t>LD/470</t>
  </si>
  <si>
    <t>216666000000962007</t>
  </si>
  <si>
    <t>1C10335522</t>
  </si>
  <si>
    <t>Bracing Pipe</t>
  </si>
  <si>
    <t>LD/519</t>
  </si>
  <si>
    <t>216666000001593495</t>
  </si>
  <si>
    <t>1C11432522</t>
  </si>
  <si>
    <t>Connection Bolt</t>
  </si>
  <si>
    <t>M16</t>
  </si>
  <si>
    <t>LD/471</t>
  </si>
  <si>
    <t>216666000000959199</t>
  </si>
  <si>
    <t>1C11432622</t>
  </si>
  <si>
    <t>Erection Bolt</t>
  </si>
  <si>
    <t>LD/472</t>
  </si>
  <si>
    <t>216666000000959195</t>
  </si>
  <si>
    <t>1C11433122</t>
  </si>
  <si>
    <t>NBW - Railing</t>
  </si>
  <si>
    <t>M12</t>
  </si>
  <si>
    <t>LD/473</t>
  </si>
  <si>
    <t>216666000000962027</t>
  </si>
  <si>
    <t>1C11434022</t>
  </si>
  <si>
    <t>NBW - Truss</t>
  </si>
  <si>
    <t>LD/444</t>
  </si>
  <si>
    <t>216666000000936175</t>
  </si>
  <si>
    <t>1C12533822</t>
  </si>
  <si>
    <t>Sag Rod</t>
  </si>
  <si>
    <t>16</t>
  </si>
  <si>
    <t>Round Bar</t>
  </si>
  <si>
    <t>LD/445</t>
  </si>
  <si>
    <t>216666000000936163</t>
  </si>
  <si>
    <t>1C20112822</t>
  </si>
  <si>
    <t>Base Plate Angle - ISA</t>
  </si>
  <si>
    <t>ISA 75</t>
  </si>
  <si>
    <t>Equal</t>
  </si>
  <si>
    <t>LD/408</t>
  </si>
  <si>
    <t>216666000000880195</t>
  </si>
  <si>
    <t>1C20121522</t>
  </si>
  <si>
    <t>LD/446</t>
  </si>
  <si>
    <t>216666000000936171</t>
  </si>
  <si>
    <t>1C20126622</t>
  </si>
  <si>
    <t>Seat Clit Angle - ISA</t>
  </si>
  <si>
    <t>LD/401</t>
  </si>
  <si>
    <t>216666000000880211</t>
  </si>
  <si>
    <t>1C20132322</t>
  </si>
  <si>
    <t>ISA</t>
  </si>
  <si>
    <t>LD/410</t>
  </si>
  <si>
    <t>216666000000880223</t>
  </si>
  <si>
    <t>1C20134322</t>
  </si>
  <si>
    <t>Web Clit</t>
  </si>
  <si>
    <t>LD/479</t>
  </si>
  <si>
    <t>216666000001281003</t>
  </si>
  <si>
    <t>1C20232222</t>
  </si>
  <si>
    <t>ISMB</t>
  </si>
  <si>
    <t>ISMB 150</t>
  </si>
  <si>
    <t>I - Beam</t>
  </si>
  <si>
    <t>LD/411</t>
  </si>
  <si>
    <t>216666000000880235</t>
  </si>
  <si>
    <t>1C20232422</t>
  </si>
  <si>
    <t>UB</t>
  </si>
  <si>
    <t>U - Beam</t>
  </si>
  <si>
    <t>LD/413</t>
  </si>
  <si>
    <t>216666000000904035</t>
  </si>
  <si>
    <t>1C20233622</t>
  </si>
  <si>
    <t>Truss Beam</t>
  </si>
  <si>
    <t>ISMB 200</t>
  </si>
  <si>
    <t>LD/447</t>
  </si>
  <si>
    <t>216666000000936155</t>
  </si>
  <si>
    <t>1C20234122</t>
  </si>
  <si>
    <t>UC</t>
  </si>
  <si>
    <t>UC 254</t>
  </si>
  <si>
    <t>LD/476</t>
  </si>
  <si>
    <t>216666000001253083</t>
  </si>
  <si>
    <t>1C20234522</t>
  </si>
  <si>
    <t>Stub Column - I</t>
  </si>
  <si>
    <t>LD/495</t>
  </si>
  <si>
    <t>216666000001447011</t>
  </si>
  <si>
    <t>1C20234622</t>
  </si>
  <si>
    <t>Stub Column - II</t>
  </si>
  <si>
    <t>LD/496</t>
  </si>
  <si>
    <t>216666000001447015</t>
  </si>
  <si>
    <t>1C20332122</t>
  </si>
  <si>
    <t>ISMC</t>
  </si>
  <si>
    <t>ISMC 150</t>
  </si>
  <si>
    <t>LD/403</t>
  </si>
  <si>
    <t>216666000000880163</t>
  </si>
  <si>
    <t>1C20333722</t>
  </si>
  <si>
    <t>Channel Clit</t>
  </si>
  <si>
    <t>LD/494</t>
  </si>
  <si>
    <t>216666000001447003</t>
  </si>
  <si>
    <t>Purlin</t>
  </si>
  <si>
    <t>1C20635622</t>
  </si>
  <si>
    <t>GI/C Purlin</t>
  </si>
  <si>
    <t>Z 275</t>
  </si>
  <si>
    <t>GI/C 100</t>
  </si>
  <si>
    <t>LD/525</t>
  </si>
  <si>
    <t>216666000001658119</t>
  </si>
  <si>
    <t>1C20635722</t>
  </si>
  <si>
    <t>GI/Z Purlin</t>
  </si>
  <si>
    <t>GI/Z 100</t>
  </si>
  <si>
    <t>LD/526</t>
  </si>
  <si>
    <t>216666000001658123</t>
  </si>
  <si>
    <t>Roofing</t>
  </si>
  <si>
    <t>1C20934122</t>
  </si>
  <si>
    <t>Roofing GI</t>
  </si>
  <si>
    <t>900 x 3000</t>
  </si>
  <si>
    <t>LD/527</t>
  </si>
  <si>
    <t>216666000001673003</t>
  </si>
  <si>
    <t>Gutter</t>
  </si>
  <si>
    <t>1C21134222</t>
  </si>
  <si>
    <t>Gutter GI</t>
  </si>
  <si>
    <t>100 x 100</t>
  </si>
  <si>
    <t>LD/528</t>
  </si>
  <si>
    <t>216666000001673007</t>
  </si>
  <si>
    <t>Gutter Clamp</t>
  </si>
  <si>
    <t>1C21134322</t>
  </si>
  <si>
    <t>Clamp GI</t>
  </si>
  <si>
    <t>LD/529</t>
  </si>
  <si>
    <t>216666000001673011</t>
  </si>
  <si>
    <t>AISI 304</t>
  </si>
  <si>
    <t>SA 193</t>
  </si>
  <si>
    <t>B7/2H</t>
  </si>
  <si>
    <t>HTA</t>
  </si>
  <si>
    <t>Tube Qty</t>
  </si>
  <si>
    <t>HTA/(((Tube OD./1000)*pi)*(Tube Length/1000))</t>
  </si>
  <si>
    <t>TUBE OD.</t>
  </si>
  <si>
    <t>No Of Pass</t>
  </si>
  <si>
    <t>Tube Length</t>
  </si>
  <si>
    <t>Shell ID.</t>
  </si>
  <si>
    <t>Tube THK</t>
  </si>
  <si>
    <t>R.S. Bonnet Shell</t>
  </si>
  <si>
    <t>Baffle Qty</t>
  </si>
  <si>
    <t>F.S. Bonnet Shell</t>
  </si>
  <si>
    <t>Special Specs</t>
  </si>
  <si>
    <t>Thickness</t>
  </si>
  <si>
    <t>Other Value</t>
  </si>
  <si>
    <t>Quantity</t>
  </si>
  <si>
    <t>Remaining Qty</t>
  </si>
  <si>
    <t>Finish Length</t>
  </si>
  <si>
    <t>Raw Length</t>
  </si>
  <si>
    <t>Remaining Length</t>
  </si>
  <si>
    <t>Finish Weight</t>
  </si>
  <si>
    <t>Equipment Category</t>
  </si>
  <si>
    <t>Equipment Type</t>
  </si>
  <si>
    <t>Equipment Subtype</t>
  </si>
  <si>
    <t>Shell &amp; Tube Heat Exchanger</t>
  </si>
  <si>
    <t>Thermosyphon - Reboiler</t>
  </si>
  <si>
    <t>Single Pass</t>
  </si>
  <si>
    <t>80</t>
  </si>
  <si>
    <t>Gr 8.8</t>
  </si>
  <si>
    <t>M24</t>
  </si>
  <si>
    <t>14</t>
  </si>
  <si>
    <t>15</t>
  </si>
  <si>
    <t>M14</t>
  </si>
  <si>
    <t>200</t>
  </si>
  <si>
    <t>M20</t>
  </si>
  <si>
    <t>Superheater</t>
  </si>
  <si>
    <t>Plate For Bellow Shell</t>
  </si>
  <si>
    <t>Strip For Bellow</t>
  </si>
  <si>
    <t>Plate for Bellow</t>
  </si>
  <si>
    <t>Forced Circulation Evaporator</t>
  </si>
  <si>
    <t>Four Pass</t>
  </si>
  <si>
    <t>75</t>
  </si>
  <si>
    <t>Gr 316L</t>
  </si>
  <si>
    <t>12</t>
  </si>
  <si>
    <t>Falling Film Evaporator</t>
  </si>
  <si>
    <t>50.8</t>
  </si>
  <si>
    <t>ASME B18.2</t>
  </si>
  <si>
    <t>25</t>
  </si>
  <si>
    <t>EPDM</t>
  </si>
  <si>
    <t>1/8</t>
  </si>
  <si>
    <t>Distillation Column</t>
  </si>
  <si>
    <t>Grid Tray</t>
  </si>
  <si>
    <t>250</t>
  </si>
  <si>
    <t>100</t>
  </si>
  <si>
    <t>Long Radius</t>
  </si>
  <si>
    <t>Sr.No.</t>
  </si>
  <si>
    <t>Shell I.D.</t>
  </si>
  <si>
    <t>Shell Bonnet THK</t>
  </si>
  <si>
    <t>Liner (After m/c)</t>
  </si>
  <si>
    <t>Dishend Thk</t>
  </si>
  <si>
    <t>Tube Sheet Finish Thk</t>
  </si>
  <si>
    <t>Tube Sheet Raw Thk</t>
  </si>
  <si>
    <t>Body Flange Finish Thk</t>
  </si>
  <si>
    <t>Body Flange Raw Thk</t>
  </si>
  <si>
    <t>Pass Partition Plate Thk</t>
  </si>
  <si>
    <t>Baffle Thk</t>
  </si>
  <si>
    <t>Bolt Size</t>
  </si>
  <si>
    <t>Bolt Length</t>
  </si>
  <si>
    <t>No Of Bolts</t>
  </si>
  <si>
    <t>Hole Dia.</t>
  </si>
  <si>
    <t>Flange I.D.</t>
  </si>
  <si>
    <t>Bolt P.C.D.</t>
  </si>
  <si>
    <t>Tube Sheet Finish O.D.</t>
  </si>
  <si>
    <t>Tube Sheet Raw O.D.</t>
  </si>
  <si>
    <t>Liner / Gasket O.D.</t>
  </si>
  <si>
    <t>Tie rod Dia.</t>
  </si>
  <si>
    <t>Tie rod Qty.</t>
  </si>
  <si>
    <t>BASE PLATE (W)</t>
  </si>
  <si>
    <t>BASE PLATE (L)</t>
  </si>
  <si>
    <t>BASE PLATE (THK)</t>
  </si>
  <si>
    <t>SADDLE PLATE-FS (W)</t>
  </si>
  <si>
    <t>SADDLE PLATE-FS (L)</t>
  </si>
  <si>
    <t>SADDLE PLATE-RS (W)</t>
  </si>
  <si>
    <t>SADDLE PLATE-RS (L)</t>
  </si>
  <si>
    <t>SADDLE PLATE (THK)</t>
  </si>
  <si>
    <t>RIB PLATE-FS (W)</t>
  </si>
  <si>
    <t>RIB PLATE-FS (L)</t>
  </si>
  <si>
    <t>RIB PLATE-RS (W)</t>
  </si>
  <si>
    <t>RIB PLATE-RS (L)</t>
  </si>
  <si>
    <t>RIB PLATE (THK)</t>
  </si>
  <si>
    <t>RIB QTY</t>
  </si>
  <si>
    <t>B</t>
  </si>
  <si>
    <t>E</t>
  </si>
  <si>
    <t>M</t>
  </si>
  <si>
    <t>M27</t>
  </si>
  <si>
    <t>tube sheet</t>
  </si>
  <si>
    <t>((0.7854*tubesheet od^2*tubesheet thk*8*10^-6)-(0.7854*tube od^2*tubesheet thk*8*10^-6*tube qty))*2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</si>
</sst>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:ss"/>
    <numFmt numFmtId="165" formatCode="0.0"/>
  </numFmts>
  <fonts count="11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b/>
      <sz val="9"/>
      <color indexed="8"/>
      <name val="Arial"/>
      <family val="2"/>
    </font>
    <font>
      <b/>
      <sz val="9"/>
      <color indexed="16"/>
      <name val="Arial"/>
      <family val="2"/>
    </font>
    <font>
      <b/>
      <sz val="9"/>
      <color indexed="12"/>
      <name val="Arial"/>
      <family val="2"/>
    </font>
    <font>
      <b/>
      <sz val="9"/>
      <color indexed="60"/>
      <name val="Arial"/>
      <family val="2"/>
    </font>
    <font>
      <b/>
      <sz val="9"/>
      <color indexed="20"/>
      <name val="Arial"/>
      <family val="2"/>
    </font>
    <font>
      <b/>
      <sz val="9"/>
      <color indexed="57"/>
      <name val="Arial"/>
      <family val="2"/>
    </font>
    <font>
      <b/>
      <sz val="9"/>
      <name val="Arial"/>
      <family val="2"/>
    </font>
    <font>
      <b/>
      <sz val="9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1" fontId="0" fillId="2" borderId="0" xfId="0" applyNumberFormat="1" applyFill="1"/>
    <xf numFmtId="0" fontId="3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quotePrefix="1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2" fillId="4" borderId="1" xfId="0" quotePrefix="1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0" fontId="5" fillId="4" borderId="1" xfId="0" applyFont="1" applyFill="1" applyBorder="1" applyAlignment="1" applyProtection="1">
      <alignment horizontal="center"/>
      <protection locked="0"/>
    </xf>
    <xf numFmtId="0" fontId="6" fillId="4" borderId="1" xfId="0" applyFont="1" applyFill="1" applyBorder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 wrapText="1"/>
      <protection locked="0"/>
    </xf>
    <xf numFmtId="0" fontId="8" fillId="4" borderId="1" xfId="0" applyFont="1" applyFill="1" applyBorder="1" applyAlignment="1" applyProtection="1">
      <alignment horizontal="center"/>
      <protection locked="0"/>
    </xf>
    <xf numFmtId="0" fontId="9" fillId="4" borderId="1" xfId="0" applyFont="1" applyFill="1" applyBorder="1" applyAlignment="1" applyProtection="1">
      <alignment horizontal="center"/>
      <protection locked="0"/>
    </xf>
    <xf numFmtId="0" fontId="10" fillId="4" borderId="1" xfId="0" applyFont="1" applyFill="1" applyBorder="1" applyAlignment="1" applyProtection="1">
      <alignment horizontal="center"/>
      <protection locked="0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2" fillId="4" borderId="1" xfId="0" applyFont="1" applyFill="1" applyBorder="1" applyAlignment="1" applyProtection="1">
      <alignment horizontal="center"/>
      <protection locked="0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32"/>
  <sheetViews>
    <sheetView workbookViewId="0">
      <selection activeCell="A197" sqref="A197:XFD197"/>
    </sheetView>
  </sheetViews>
  <sheetFormatPr defaultRowHeight="14.25" x14ac:dyDescent="0.45"/>
  <cols>
    <col min="1" max="1" width="23.3984375" bestFit="1" customWidth="1"/>
    <col min="2" max="2" width="18.1328125" bestFit="1" customWidth="1"/>
    <col min="3" max="3" width="12.1328125" bestFit="1" customWidth="1"/>
    <col min="4" max="4" width="42.265625" bestFit="1" customWidth="1"/>
    <col min="5" max="5" width="10.59765625" customWidth="1"/>
    <col min="6" max="6" width="9.86328125" bestFit="1" customWidth="1"/>
    <col min="7" max="7" width="18.73046875" bestFit="1" customWidth="1"/>
    <col min="8" max="8" width="16" bestFit="1" customWidth="1"/>
    <col min="9" max="9" width="13.265625" bestFit="1" customWidth="1"/>
    <col min="10" max="10" width="12.3984375" bestFit="1" customWidth="1"/>
    <col min="11" max="11" width="11.59765625" bestFit="1" customWidth="1"/>
    <col min="12" max="12" width="15.1328125" bestFit="1" customWidth="1"/>
    <col min="13" max="13" width="17.59765625" bestFit="1" customWidth="1"/>
    <col min="14" max="14" width="23" bestFit="1" customWidth="1"/>
    <col min="15" max="15" width="21.73046875" bestFit="1" customWidth="1"/>
    <col min="16" max="16" width="13.1328125" bestFit="1" customWidth="1"/>
    <col min="17" max="17" width="30.265625" bestFit="1" customWidth="1"/>
    <col min="18" max="18" width="10.86328125" bestFit="1" customWidth="1"/>
    <col min="19" max="19" width="16.3984375" bestFit="1" customWidth="1"/>
    <col min="20" max="21" width="20" bestFit="1" customWidth="1"/>
    <col min="22" max="22" width="19.265625" bestFit="1" customWidth="1"/>
  </cols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3" t="s">
        <v>16</v>
      </c>
      <c r="S1" t="s">
        <v>17</v>
      </c>
      <c r="T1" t="s">
        <v>18</v>
      </c>
      <c r="U1" t="s">
        <v>19</v>
      </c>
      <c r="V1" s="2" t="s">
        <v>20</v>
      </c>
    </row>
    <row r="2" spans="1:22" hidden="1" x14ac:dyDescent="0.45">
      <c r="A2" t="s">
        <v>21</v>
      </c>
      <c r="B2" t="s">
        <v>22</v>
      </c>
      <c r="C2" t="s">
        <v>23</v>
      </c>
      <c r="D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32</v>
      </c>
      <c r="O2" t="s">
        <v>32</v>
      </c>
      <c r="P2" t="s">
        <v>33</v>
      </c>
      <c r="Q2" t="s">
        <v>34</v>
      </c>
      <c r="R2" s="3">
        <v>21</v>
      </c>
      <c r="S2" t="s">
        <v>35</v>
      </c>
      <c r="T2" s="1">
        <v>45015.532847222225</v>
      </c>
      <c r="U2" s="1">
        <v>45610.645578703705</v>
      </c>
      <c r="V2" s="2" t="s">
        <v>36</v>
      </c>
    </row>
    <row r="3" spans="1:22" hidden="1" x14ac:dyDescent="0.45">
      <c r="A3" t="s">
        <v>21</v>
      </c>
      <c r="B3" t="s">
        <v>22</v>
      </c>
      <c r="C3" t="s">
        <v>37</v>
      </c>
      <c r="D3" t="s">
        <v>38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32</v>
      </c>
      <c r="O3" t="s">
        <v>32</v>
      </c>
      <c r="P3" t="s">
        <v>33</v>
      </c>
      <c r="Q3" t="s">
        <v>39</v>
      </c>
      <c r="R3" s="3">
        <v>15</v>
      </c>
      <c r="S3" t="s">
        <v>40</v>
      </c>
      <c r="T3" s="1">
        <v>45015.532847222225</v>
      </c>
      <c r="U3" s="1">
        <v>45610.645798611113</v>
      </c>
      <c r="V3" s="2" t="s">
        <v>41</v>
      </c>
    </row>
    <row r="4" spans="1:22" hidden="1" x14ac:dyDescent="0.45">
      <c r="A4" t="s">
        <v>21</v>
      </c>
      <c r="B4" t="s">
        <v>22</v>
      </c>
      <c r="C4" t="s">
        <v>42</v>
      </c>
      <c r="D4" t="s">
        <v>43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32</v>
      </c>
      <c r="O4" t="s">
        <v>32</v>
      </c>
      <c r="P4" t="s">
        <v>33</v>
      </c>
      <c r="Q4" t="s">
        <v>44</v>
      </c>
      <c r="R4" s="3">
        <v>3</v>
      </c>
      <c r="S4" t="s">
        <v>32</v>
      </c>
      <c r="T4" s="1">
        <v>45015.532847222225</v>
      </c>
      <c r="U4" s="1">
        <v>45428.537268518521</v>
      </c>
      <c r="V4" s="2" t="s">
        <v>45</v>
      </c>
    </row>
    <row r="5" spans="1:22" hidden="1" x14ac:dyDescent="0.45">
      <c r="A5" t="s">
        <v>21</v>
      </c>
      <c r="B5" t="s">
        <v>22</v>
      </c>
      <c r="C5" t="s">
        <v>46</v>
      </c>
      <c r="D5" t="s">
        <v>47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32</v>
      </c>
      <c r="O5" t="s">
        <v>32</v>
      </c>
      <c r="P5" t="s">
        <v>33</v>
      </c>
      <c r="Q5" t="s">
        <v>48</v>
      </c>
      <c r="R5" s="3">
        <v>10</v>
      </c>
      <c r="S5" t="s">
        <v>32</v>
      </c>
      <c r="T5" s="1">
        <v>45015.532847222225</v>
      </c>
      <c r="U5" s="1">
        <v>45428.708090277774</v>
      </c>
      <c r="V5" s="2" t="s">
        <v>49</v>
      </c>
    </row>
    <row r="6" spans="1:22" hidden="1" x14ac:dyDescent="0.45">
      <c r="A6" t="s">
        <v>21</v>
      </c>
      <c r="B6" t="s">
        <v>22</v>
      </c>
      <c r="C6" t="s">
        <v>50</v>
      </c>
      <c r="D6" t="s">
        <v>51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32</v>
      </c>
      <c r="O6" t="s">
        <v>32</v>
      </c>
      <c r="P6" t="s">
        <v>33</v>
      </c>
      <c r="Q6" t="s">
        <v>52</v>
      </c>
      <c r="R6" s="3">
        <v>10</v>
      </c>
      <c r="S6" t="s">
        <v>32</v>
      </c>
      <c r="T6" s="1">
        <v>45015.532847222225</v>
      </c>
      <c r="U6" s="1">
        <v>45428.708090277774</v>
      </c>
      <c r="V6" s="2" t="s">
        <v>53</v>
      </c>
    </row>
    <row r="7" spans="1:22" hidden="1" x14ac:dyDescent="0.45">
      <c r="A7" t="s">
        <v>21</v>
      </c>
      <c r="B7" t="s">
        <v>22</v>
      </c>
      <c r="C7" t="s">
        <v>54</v>
      </c>
      <c r="D7" t="s">
        <v>55</v>
      </c>
      <c r="F7" t="s">
        <v>56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32</v>
      </c>
      <c r="O7" t="s">
        <v>32</v>
      </c>
      <c r="P7" t="s">
        <v>33</v>
      </c>
      <c r="Q7" t="s">
        <v>57</v>
      </c>
      <c r="R7" s="3">
        <v>10</v>
      </c>
      <c r="S7" t="s">
        <v>32</v>
      </c>
      <c r="T7" s="1">
        <v>45015.532847222225</v>
      </c>
      <c r="U7" s="1">
        <v>45428.71837962963</v>
      </c>
      <c r="V7" s="2" t="s">
        <v>58</v>
      </c>
    </row>
    <row r="8" spans="1:22" hidden="1" x14ac:dyDescent="0.45">
      <c r="A8" t="s">
        <v>21</v>
      </c>
      <c r="B8" t="s">
        <v>59</v>
      </c>
      <c r="C8" t="s">
        <v>60</v>
      </c>
      <c r="D8" t="s">
        <v>61</v>
      </c>
      <c r="F8" t="s">
        <v>25</v>
      </c>
      <c r="G8" t="s">
        <v>26</v>
      </c>
      <c r="H8" t="s">
        <v>62</v>
      </c>
      <c r="I8" t="s">
        <v>28</v>
      </c>
      <c r="J8" t="s">
        <v>32</v>
      </c>
      <c r="K8" t="s">
        <v>63</v>
      </c>
      <c r="L8" t="s">
        <v>64</v>
      </c>
      <c r="M8" t="s">
        <v>32</v>
      </c>
      <c r="N8" t="s">
        <v>65</v>
      </c>
      <c r="O8" t="s">
        <v>66</v>
      </c>
      <c r="P8" t="s">
        <v>32</v>
      </c>
      <c r="Q8" t="s">
        <v>67</v>
      </c>
      <c r="R8" s="3" t="s">
        <v>32</v>
      </c>
      <c r="S8" t="s">
        <v>32</v>
      </c>
      <c r="T8" s="1">
        <v>45469.530381944445</v>
      </c>
      <c r="U8" s="1">
        <v>45470.707569444443</v>
      </c>
      <c r="V8" s="2" t="s">
        <v>68</v>
      </c>
    </row>
    <row r="9" spans="1:22" hidden="1" x14ac:dyDescent="0.45">
      <c r="A9" t="s">
        <v>21</v>
      </c>
      <c r="B9" t="s">
        <v>22</v>
      </c>
      <c r="C9" t="s">
        <v>69</v>
      </c>
      <c r="D9" t="s">
        <v>70</v>
      </c>
      <c r="F9" t="s">
        <v>71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32</v>
      </c>
      <c r="O9" t="s">
        <v>32</v>
      </c>
      <c r="P9" t="s">
        <v>33</v>
      </c>
      <c r="Q9" t="s">
        <v>72</v>
      </c>
      <c r="R9" s="3">
        <v>3</v>
      </c>
      <c r="S9" t="s">
        <v>32</v>
      </c>
      <c r="T9" s="1">
        <v>45015.532847222225</v>
      </c>
      <c r="U9" s="1">
        <v>45428.708634259259</v>
      </c>
      <c r="V9" s="2" t="s">
        <v>73</v>
      </c>
    </row>
    <row r="10" spans="1:22" hidden="1" x14ac:dyDescent="0.45">
      <c r="A10" t="s">
        <v>21</v>
      </c>
      <c r="B10" t="s">
        <v>22</v>
      </c>
      <c r="C10" t="s">
        <v>74</v>
      </c>
      <c r="D10" t="s">
        <v>75</v>
      </c>
      <c r="F10" t="s">
        <v>76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t="s">
        <v>31</v>
      </c>
      <c r="M10" t="s">
        <v>32</v>
      </c>
      <c r="N10" t="s">
        <v>32</v>
      </c>
      <c r="O10" t="s">
        <v>32</v>
      </c>
      <c r="P10" t="s">
        <v>33</v>
      </c>
      <c r="Q10" t="s">
        <v>77</v>
      </c>
      <c r="R10" s="3">
        <v>25</v>
      </c>
      <c r="S10" t="s">
        <v>32</v>
      </c>
      <c r="T10" s="1">
        <v>45015.532847222225</v>
      </c>
      <c r="U10" s="1">
        <v>45492.722881944443</v>
      </c>
      <c r="V10" s="2" t="s">
        <v>78</v>
      </c>
    </row>
    <row r="11" spans="1:22" hidden="1" x14ac:dyDescent="0.45">
      <c r="A11" t="s">
        <v>21</v>
      </c>
      <c r="B11" t="s">
        <v>22</v>
      </c>
      <c r="C11" t="s">
        <v>79</v>
      </c>
      <c r="D11" t="s">
        <v>80</v>
      </c>
      <c r="F11" t="s">
        <v>71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32</v>
      </c>
      <c r="O11" t="s">
        <v>32</v>
      </c>
      <c r="P11" t="s">
        <v>33</v>
      </c>
      <c r="Q11" t="s">
        <v>81</v>
      </c>
      <c r="R11" s="3">
        <v>10</v>
      </c>
      <c r="S11" t="s">
        <v>32</v>
      </c>
      <c r="T11" s="1">
        <v>45015.532847222225</v>
      </c>
      <c r="U11" s="1">
        <v>45428.71837962963</v>
      </c>
      <c r="V11" s="2" t="s">
        <v>82</v>
      </c>
    </row>
    <row r="12" spans="1:22" hidden="1" x14ac:dyDescent="0.45">
      <c r="A12" t="s">
        <v>21</v>
      </c>
      <c r="B12" t="s">
        <v>22</v>
      </c>
      <c r="C12" t="s">
        <v>83</v>
      </c>
      <c r="D12" t="s">
        <v>84</v>
      </c>
      <c r="F12" t="s">
        <v>85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L12" t="s">
        <v>31</v>
      </c>
      <c r="M12" t="s">
        <v>32</v>
      </c>
      <c r="N12" t="s">
        <v>32</v>
      </c>
      <c r="O12" t="s">
        <v>32</v>
      </c>
      <c r="P12" t="s">
        <v>33</v>
      </c>
      <c r="Q12" t="s">
        <v>86</v>
      </c>
      <c r="R12" s="3">
        <v>3</v>
      </c>
      <c r="S12" t="s">
        <v>32</v>
      </c>
      <c r="T12" s="1">
        <v>45015.532847222225</v>
      </c>
      <c r="U12" s="1">
        <v>45428.720671296294</v>
      </c>
      <c r="V12" s="2" t="s">
        <v>87</v>
      </c>
    </row>
    <row r="13" spans="1:22" hidden="1" x14ac:dyDescent="0.45">
      <c r="A13" t="s">
        <v>21</v>
      </c>
      <c r="B13" t="s">
        <v>22</v>
      </c>
      <c r="C13" t="s">
        <v>88</v>
      </c>
      <c r="D13" t="s">
        <v>89</v>
      </c>
      <c r="F13" t="s">
        <v>85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32</v>
      </c>
      <c r="O13" t="s">
        <v>32</v>
      </c>
      <c r="P13" t="s">
        <v>33</v>
      </c>
      <c r="Q13" t="s">
        <v>90</v>
      </c>
      <c r="R13" s="3">
        <v>3</v>
      </c>
      <c r="S13" t="s">
        <v>32</v>
      </c>
      <c r="T13" s="1">
        <v>45015.532847222225</v>
      </c>
      <c r="U13" s="1">
        <v>45428.720671296294</v>
      </c>
      <c r="V13" s="2" t="s">
        <v>91</v>
      </c>
    </row>
    <row r="14" spans="1:22" hidden="1" x14ac:dyDescent="0.45">
      <c r="A14" t="s">
        <v>21</v>
      </c>
      <c r="B14" t="s">
        <v>22</v>
      </c>
      <c r="C14" t="s">
        <v>92</v>
      </c>
      <c r="D14" t="s">
        <v>93</v>
      </c>
      <c r="F14" t="s">
        <v>71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32</v>
      </c>
      <c r="O14" t="s">
        <v>32</v>
      </c>
      <c r="P14" t="s">
        <v>33</v>
      </c>
      <c r="Q14" t="s">
        <v>94</v>
      </c>
      <c r="R14" s="3">
        <v>10</v>
      </c>
      <c r="S14" t="s">
        <v>32</v>
      </c>
      <c r="T14" s="1">
        <v>45015.532858796294</v>
      </c>
      <c r="U14" s="1">
        <v>45428.719201388885</v>
      </c>
      <c r="V14" s="2" t="s">
        <v>95</v>
      </c>
    </row>
    <row r="15" spans="1:22" hidden="1" x14ac:dyDescent="0.45">
      <c r="A15" t="s">
        <v>21</v>
      </c>
      <c r="B15" t="s">
        <v>22</v>
      </c>
      <c r="C15" t="s">
        <v>96</v>
      </c>
      <c r="D15" t="s">
        <v>97</v>
      </c>
      <c r="F15" t="s">
        <v>76</v>
      </c>
      <c r="G15" t="s">
        <v>26</v>
      </c>
      <c r="H15" t="s">
        <v>27</v>
      </c>
      <c r="I15" t="s">
        <v>28</v>
      </c>
      <c r="J15" t="s">
        <v>29</v>
      </c>
      <c r="K15" t="s">
        <v>30</v>
      </c>
      <c r="L15" t="s">
        <v>31</v>
      </c>
      <c r="M15" t="s">
        <v>32</v>
      </c>
      <c r="N15" t="s">
        <v>32</v>
      </c>
      <c r="O15" t="s">
        <v>32</v>
      </c>
      <c r="P15" t="s">
        <v>33</v>
      </c>
      <c r="Q15" t="s">
        <v>98</v>
      </c>
      <c r="R15" s="3">
        <v>21</v>
      </c>
      <c r="S15" t="s">
        <v>32</v>
      </c>
      <c r="T15" s="1">
        <v>45015.532858796294</v>
      </c>
      <c r="U15" s="1">
        <v>45428.709618055553</v>
      </c>
      <c r="V15" s="2" t="s">
        <v>99</v>
      </c>
    </row>
    <row r="16" spans="1:22" hidden="1" x14ac:dyDescent="0.45">
      <c r="A16" t="s">
        <v>21</v>
      </c>
      <c r="B16" t="s">
        <v>22</v>
      </c>
      <c r="C16" t="s">
        <v>100</v>
      </c>
      <c r="D16" t="s">
        <v>101</v>
      </c>
      <c r="F16" t="s">
        <v>102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  <c r="L16" t="s">
        <v>31</v>
      </c>
      <c r="M16" t="s">
        <v>32</v>
      </c>
      <c r="N16" t="s">
        <v>32</v>
      </c>
      <c r="O16" t="s">
        <v>32</v>
      </c>
      <c r="P16" t="s">
        <v>33</v>
      </c>
      <c r="Q16" t="s">
        <v>103</v>
      </c>
      <c r="R16" s="3">
        <v>10</v>
      </c>
      <c r="S16" t="s">
        <v>32</v>
      </c>
      <c r="T16" s="1">
        <v>45015.532858796294</v>
      </c>
      <c r="U16" s="1">
        <v>45428.72111111111</v>
      </c>
      <c r="V16" s="2" t="s">
        <v>104</v>
      </c>
    </row>
    <row r="17" spans="1:22" hidden="1" x14ac:dyDescent="0.45">
      <c r="A17" t="s">
        <v>21</v>
      </c>
      <c r="B17" t="s">
        <v>22</v>
      </c>
      <c r="C17" t="s">
        <v>105</v>
      </c>
      <c r="D17" t="s">
        <v>106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 t="s">
        <v>30</v>
      </c>
      <c r="L17" t="s">
        <v>31</v>
      </c>
      <c r="M17" t="s">
        <v>32</v>
      </c>
      <c r="N17" t="s">
        <v>32</v>
      </c>
      <c r="O17" t="s">
        <v>32</v>
      </c>
      <c r="P17" t="s">
        <v>33</v>
      </c>
      <c r="Q17" t="s">
        <v>107</v>
      </c>
      <c r="R17" s="3">
        <v>10</v>
      </c>
      <c r="S17" t="s">
        <v>32</v>
      </c>
      <c r="T17" s="1">
        <v>45015.532858796294</v>
      </c>
      <c r="U17" s="1">
        <v>45492.506863425922</v>
      </c>
      <c r="V17" s="2" t="s">
        <v>108</v>
      </c>
    </row>
    <row r="18" spans="1:22" hidden="1" x14ac:dyDescent="0.45">
      <c r="A18" t="s">
        <v>21</v>
      </c>
      <c r="B18" t="s">
        <v>22</v>
      </c>
      <c r="C18" t="s">
        <v>109</v>
      </c>
      <c r="D18" t="s">
        <v>110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30</v>
      </c>
      <c r="L18" t="s">
        <v>31</v>
      </c>
      <c r="M18" t="s">
        <v>32</v>
      </c>
      <c r="N18" t="s">
        <v>32</v>
      </c>
      <c r="O18" t="s">
        <v>32</v>
      </c>
      <c r="P18" t="s">
        <v>33</v>
      </c>
      <c r="Q18" t="s">
        <v>111</v>
      </c>
      <c r="R18" s="3">
        <v>5</v>
      </c>
      <c r="S18" t="s">
        <v>32</v>
      </c>
      <c r="T18" s="1">
        <v>45015.532858796294</v>
      </c>
      <c r="U18" s="1">
        <v>45428.714884259258</v>
      </c>
      <c r="V18" s="2" t="s">
        <v>112</v>
      </c>
    </row>
    <row r="19" spans="1:22" hidden="1" x14ac:dyDescent="0.45">
      <c r="A19" t="s">
        <v>21</v>
      </c>
      <c r="B19" t="s">
        <v>22</v>
      </c>
      <c r="C19" t="s">
        <v>113</v>
      </c>
      <c r="D19" t="s">
        <v>114</v>
      </c>
      <c r="F19" t="s">
        <v>56</v>
      </c>
      <c r="G19" t="s">
        <v>26</v>
      </c>
      <c r="H19" t="s">
        <v>27</v>
      </c>
      <c r="I19" t="s">
        <v>28</v>
      </c>
      <c r="J19" t="s">
        <v>29</v>
      </c>
      <c r="K19" t="s">
        <v>30</v>
      </c>
      <c r="L19" t="s">
        <v>31</v>
      </c>
      <c r="M19" t="s">
        <v>32</v>
      </c>
      <c r="N19" t="s">
        <v>32</v>
      </c>
      <c r="O19" t="s">
        <v>32</v>
      </c>
      <c r="P19" t="s">
        <v>33</v>
      </c>
      <c r="Q19" t="s">
        <v>115</v>
      </c>
      <c r="R19" s="3">
        <v>3</v>
      </c>
      <c r="S19" t="s">
        <v>32</v>
      </c>
      <c r="T19" s="1">
        <v>45015.532858796294</v>
      </c>
      <c r="U19" s="1">
        <v>45428.714988425927</v>
      </c>
      <c r="V19" s="2" t="s">
        <v>116</v>
      </c>
    </row>
    <row r="20" spans="1:22" hidden="1" x14ac:dyDescent="0.45">
      <c r="A20" t="s">
        <v>21</v>
      </c>
      <c r="B20" t="s">
        <v>22</v>
      </c>
      <c r="C20" t="s">
        <v>117</v>
      </c>
      <c r="D20" t="s">
        <v>118</v>
      </c>
      <c r="F20" t="s">
        <v>71</v>
      </c>
      <c r="G20" t="s">
        <v>26</v>
      </c>
      <c r="H20" t="s">
        <v>27</v>
      </c>
      <c r="I20" t="s">
        <v>28</v>
      </c>
      <c r="J20" t="s">
        <v>29</v>
      </c>
      <c r="K20" t="s">
        <v>30</v>
      </c>
      <c r="L20" t="s">
        <v>31</v>
      </c>
      <c r="M20" t="s">
        <v>32</v>
      </c>
      <c r="N20" t="s">
        <v>32</v>
      </c>
      <c r="O20" t="s">
        <v>32</v>
      </c>
      <c r="P20" t="s">
        <v>33</v>
      </c>
      <c r="Q20" t="s">
        <v>119</v>
      </c>
      <c r="R20" s="3">
        <v>25</v>
      </c>
      <c r="S20" t="s">
        <v>32</v>
      </c>
      <c r="T20" s="1">
        <v>45015.532858796294</v>
      </c>
      <c r="U20" s="1">
        <v>45428.715243055558</v>
      </c>
      <c r="V20" s="2" t="s">
        <v>120</v>
      </c>
    </row>
    <row r="21" spans="1:22" hidden="1" x14ac:dyDescent="0.45">
      <c r="A21" t="s">
        <v>21</v>
      </c>
      <c r="B21" t="s">
        <v>22</v>
      </c>
      <c r="C21" t="s">
        <v>121</v>
      </c>
      <c r="D21" t="s">
        <v>122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30</v>
      </c>
      <c r="L21" t="s">
        <v>31</v>
      </c>
      <c r="M21" t="s">
        <v>32</v>
      </c>
      <c r="N21" t="s">
        <v>32</v>
      </c>
      <c r="O21" t="s">
        <v>32</v>
      </c>
      <c r="P21" t="s">
        <v>33</v>
      </c>
      <c r="Q21" t="s">
        <v>123</v>
      </c>
      <c r="R21" s="3">
        <v>5</v>
      </c>
      <c r="S21" t="s">
        <v>32</v>
      </c>
      <c r="T21" s="1">
        <v>45015.532858796294</v>
      </c>
      <c r="U21" s="1">
        <v>45428.715358796297</v>
      </c>
      <c r="V21" s="2" t="s">
        <v>124</v>
      </c>
    </row>
    <row r="22" spans="1:22" hidden="1" x14ac:dyDescent="0.45">
      <c r="A22" t="s">
        <v>21</v>
      </c>
      <c r="B22" t="s">
        <v>22</v>
      </c>
      <c r="C22" t="s">
        <v>125</v>
      </c>
      <c r="D22" t="s">
        <v>126</v>
      </c>
      <c r="F22" t="s">
        <v>25</v>
      </c>
      <c r="G22" t="s">
        <v>26</v>
      </c>
      <c r="H22" t="s">
        <v>27</v>
      </c>
      <c r="I22" t="s">
        <v>28</v>
      </c>
      <c r="J22" t="s">
        <v>29</v>
      </c>
      <c r="K22" t="s">
        <v>30</v>
      </c>
      <c r="L22" t="s">
        <v>31</v>
      </c>
      <c r="M22" t="s">
        <v>32</v>
      </c>
      <c r="N22" t="s">
        <v>32</v>
      </c>
      <c r="O22" t="s">
        <v>32</v>
      </c>
      <c r="P22" t="s">
        <v>33</v>
      </c>
      <c r="Q22" t="s">
        <v>127</v>
      </c>
      <c r="R22" s="3">
        <v>5</v>
      </c>
      <c r="S22" t="s">
        <v>32</v>
      </c>
      <c r="T22" s="1">
        <v>45015.532858796294</v>
      </c>
      <c r="U22" s="1">
        <v>45428.71565972222</v>
      </c>
      <c r="V22" s="2" t="s">
        <v>128</v>
      </c>
    </row>
    <row r="23" spans="1:22" hidden="1" x14ac:dyDescent="0.45">
      <c r="A23" t="s">
        <v>21</v>
      </c>
      <c r="B23" t="s">
        <v>22</v>
      </c>
      <c r="C23" t="s">
        <v>129</v>
      </c>
      <c r="D23" t="s">
        <v>130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 t="s">
        <v>30</v>
      </c>
      <c r="L23" t="s">
        <v>31</v>
      </c>
      <c r="M23" t="s">
        <v>32</v>
      </c>
      <c r="N23" t="s">
        <v>32</v>
      </c>
      <c r="O23" t="s">
        <v>32</v>
      </c>
      <c r="P23" t="s">
        <v>33</v>
      </c>
      <c r="Q23" t="s">
        <v>131</v>
      </c>
      <c r="R23" s="3">
        <v>5</v>
      </c>
      <c r="S23" t="s">
        <v>32</v>
      </c>
      <c r="T23" s="1">
        <v>45015.532858796294</v>
      </c>
      <c r="U23" s="1">
        <v>45428.715752314813</v>
      </c>
      <c r="V23" s="2" t="s">
        <v>132</v>
      </c>
    </row>
    <row r="24" spans="1:22" hidden="1" x14ac:dyDescent="0.45">
      <c r="A24" t="s">
        <v>21</v>
      </c>
      <c r="B24" t="s">
        <v>22</v>
      </c>
      <c r="C24" t="s">
        <v>133</v>
      </c>
      <c r="D24" t="s">
        <v>134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 t="s">
        <v>30</v>
      </c>
      <c r="L24" t="s">
        <v>31</v>
      </c>
      <c r="M24" t="s">
        <v>32</v>
      </c>
      <c r="N24" t="s">
        <v>32</v>
      </c>
      <c r="O24" t="s">
        <v>32</v>
      </c>
      <c r="P24" t="s">
        <v>33</v>
      </c>
      <c r="Q24" t="s">
        <v>135</v>
      </c>
      <c r="R24" s="3">
        <v>5</v>
      </c>
      <c r="S24" t="s">
        <v>32</v>
      </c>
      <c r="T24" s="1">
        <v>45015.532858796294</v>
      </c>
      <c r="U24" s="1">
        <v>45428.715844907405</v>
      </c>
      <c r="V24" s="2" t="s">
        <v>136</v>
      </c>
    </row>
    <row r="25" spans="1:22" hidden="1" x14ac:dyDescent="0.45">
      <c r="A25" t="s">
        <v>21</v>
      </c>
      <c r="B25" t="s">
        <v>22</v>
      </c>
      <c r="C25" t="s">
        <v>137</v>
      </c>
      <c r="D25" t="s">
        <v>138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 t="s">
        <v>30</v>
      </c>
      <c r="L25" t="s">
        <v>31</v>
      </c>
      <c r="M25" t="s">
        <v>32</v>
      </c>
      <c r="N25" t="s">
        <v>32</v>
      </c>
      <c r="O25" t="s">
        <v>32</v>
      </c>
      <c r="P25" t="s">
        <v>33</v>
      </c>
      <c r="Q25" t="s">
        <v>139</v>
      </c>
      <c r="R25" s="3">
        <v>5</v>
      </c>
      <c r="S25" t="s">
        <v>32</v>
      </c>
      <c r="T25" s="1">
        <v>45015.532858796294</v>
      </c>
      <c r="U25" s="1">
        <v>45428.715925925928</v>
      </c>
      <c r="V25" s="2" t="s">
        <v>140</v>
      </c>
    </row>
    <row r="26" spans="1:22" hidden="1" x14ac:dyDescent="0.45">
      <c r="A26" t="s">
        <v>21</v>
      </c>
      <c r="B26" t="s">
        <v>22</v>
      </c>
      <c r="C26" t="s">
        <v>141</v>
      </c>
      <c r="D26" t="s">
        <v>142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 t="s">
        <v>30</v>
      </c>
      <c r="L26" t="s">
        <v>31</v>
      </c>
      <c r="M26" t="s">
        <v>32</v>
      </c>
      <c r="N26" t="s">
        <v>32</v>
      </c>
      <c r="O26" t="s">
        <v>32</v>
      </c>
      <c r="P26" t="s">
        <v>33</v>
      </c>
      <c r="Q26" t="s">
        <v>143</v>
      </c>
      <c r="R26" s="3">
        <v>3</v>
      </c>
      <c r="S26" t="s">
        <v>32</v>
      </c>
      <c r="T26" s="1">
        <v>45015.532858796294</v>
      </c>
      <c r="U26" s="1">
        <v>45428.71603009259</v>
      </c>
      <c r="V26" s="2" t="s">
        <v>144</v>
      </c>
    </row>
    <row r="27" spans="1:22" hidden="1" x14ac:dyDescent="0.45">
      <c r="A27" t="s">
        <v>21</v>
      </c>
      <c r="B27" t="s">
        <v>22</v>
      </c>
      <c r="C27" t="s">
        <v>145</v>
      </c>
      <c r="D27" t="s">
        <v>146</v>
      </c>
      <c r="F27" t="s">
        <v>56</v>
      </c>
      <c r="G27" t="s">
        <v>26</v>
      </c>
      <c r="H27" t="s">
        <v>27</v>
      </c>
      <c r="I27" t="s">
        <v>28</v>
      </c>
      <c r="J27" t="s">
        <v>29</v>
      </c>
      <c r="K27" t="s">
        <v>30</v>
      </c>
      <c r="L27" t="s">
        <v>31</v>
      </c>
      <c r="M27" t="s">
        <v>32</v>
      </c>
      <c r="N27" t="s">
        <v>32</v>
      </c>
      <c r="O27" t="s">
        <v>32</v>
      </c>
      <c r="P27" t="s">
        <v>33</v>
      </c>
      <c r="Q27" t="s">
        <v>147</v>
      </c>
      <c r="R27" s="3">
        <v>5</v>
      </c>
      <c r="S27" t="s">
        <v>32</v>
      </c>
      <c r="T27" s="1">
        <v>45015.532858796294</v>
      </c>
      <c r="U27" s="1">
        <v>45428.716122685182</v>
      </c>
      <c r="V27" s="2" t="s">
        <v>148</v>
      </c>
    </row>
    <row r="28" spans="1:22" hidden="1" x14ac:dyDescent="0.45">
      <c r="A28" t="s">
        <v>21</v>
      </c>
      <c r="B28" t="s">
        <v>22</v>
      </c>
      <c r="C28" t="s">
        <v>149</v>
      </c>
      <c r="D28" t="s">
        <v>150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 t="s">
        <v>30</v>
      </c>
      <c r="L28" t="s">
        <v>31</v>
      </c>
      <c r="M28" t="s">
        <v>32</v>
      </c>
      <c r="N28" t="s">
        <v>32</v>
      </c>
      <c r="O28" t="s">
        <v>32</v>
      </c>
      <c r="P28" t="s">
        <v>33</v>
      </c>
      <c r="Q28" t="s">
        <v>151</v>
      </c>
      <c r="R28" s="3">
        <v>10</v>
      </c>
      <c r="S28" t="s">
        <v>32</v>
      </c>
      <c r="T28" s="1">
        <v>45015.532858796294</v>
      </c>
      <c r="U28" s="1">
        <v>45428.708090277774</v>
      </c>
      <c r="V28" s="2" t="s">
        <v>152</v>
      </c>
    </row>
    <row r="29" spans="1:22" hidden="1" x14ac:dyDescent="0.45">
      <c r="A29" t="s">
        <v>21</v>
      </c>
      <c r="B29" t="s">
        <v>22</v>
      </c>
      <c r="C29" t="s">
        <v>153</v>
      </c>
      <c r="D29" t="s">
        <v>154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 t="s">
        <v>30</v>
      </c>
      <c r="L29" t="s">
        <v>31</v>
      </c>
      <c r="M29" t="s">
        <v>32</v>
      </c>
      <c r="N29" t="s">
        <v>32</v>
      </c>
      <c r="O29" t="s">
        <v>32</v>
      </c>
      <c r="P29" t="s">
        <v>33</v>
      </c>
      <c r="Q29" t="s">
        <v>155</v>
      </c>
      <c r="R29" s="3">
        <v>3</v>
      </c>
      <c r="S29" t="s">
        <v>32</v>
      </c>
      <c r="T29" s="1">
        <v>45015.532858796294</v>
      </c>
      <c r="U29" s="1">
        <v>45428.716215277775</v>
      </c>
      <c r="V29" s="2" t="s">
        <v>156</v>
      </c>
    </row>
    <row r="30" spans="1:22" hidden="1" x14ac:dyDescent="0.45">
      <c r="A30" t="s">
        <v>21</v>
      </c>
      <c r="B30" t="s">
        <v>22</v>
      </c>
      <c r="C30" t="s">
        <v>157</v>
      </c>
      <c r="D30" t="s">
        <v>158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30</v>
      </c>
      <c r="L30" t="s">
        <v>31</v>
      </c>
      <c r="M30" t="s">
        <v>32</v>
      </c>
      <c r="N30" t="s">
        <v>32</v>
      </c>
      <c r="O30" t="s">
        <v>32</v>
      </c>
      <c r="P30" t="s">
        <v>33</v>
      </c>
      <c r="Q30" t="s">
        <v>159</v>
      </c>
      <c r="R30" s="3">
        <v>3</v>
      </c>
      <c r="S30" t="s">
        <v>32</v>
      </c>
      <c r="T30" s="1">
        <v>45015.532858796294</v>
      </c>
      <c r="U30" s="1">
        <v>45428.722060185188</v>
      </c>
      <c r="V30" s="2" t="s">
        <v>160</v>
      </c>
    </row>
    <row r="31" spans="1:22" hidden="1" x14ac:dyDescent="0.45">
      <c r="A31" t="s">
        <v>21</v>
      </c>
      <c r="B31" t="s">
        <v>22</v>
      </c>
      <c r="C31" t="s">
        <v>161</v>
      </c>
      <c r="D31" t="s">
        <v>162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 t="s">
        <v>30</v>
      </c>
      <c r="L31" t="s">
        <v>31</v>
      </c>
      <c r="M31" t="s">
        <v>32</v>
      </c>
      <c r="N31" t="s">
        <v>32</v>
      </c>
      <c r="O31" t="s">
        <v>32</v>
      </c>
      <c r="P31" t="s">
        <v>33</v>
      </c>
      <c r="Q31" t="s">
        <v>163</v>
      </c>
      <c r="R31" s="3">
        <v>5</v>
      </c>
      <c r="S31" t="s">
        <v>32</v>
      </c>
      <c r="T31" s="1">
        <v>45015.532858796294</v>
      </c>
      <c r="U31" s="1">
        <v>45428.723946759259</v>
      </c>
      <c r="V31" s="2" t="s">
        <v>164</v>
      </c>
    </row>
    <row r="32" spans="1:22" hidden="1" x14ac:dyDescent="0.45">
      <c r="A32" t="s">
        <v>21</v>
      </c>
      <c r="B32" t="s">
        <v>22</v>
      </c>
      <c r="C32" t="s">
        <v>165</v>
      </c>
      <c r="D32" t="s">
        <v>166</v>
      </c>
      <c r="F32" t="s">
        <v>25</v>
      </c>
      <c r="G32" t="s">
        <v>26</v>
      </c>
      <c r="H32" t="s">
        <v>27</v>
      </c>
      <c r="I32" t="s">
        <v>28</v>
      </c>
      <c r="J32" t="s">
        <v>29</v>
      </c>
      <c r="K32" t="s">
        <v>30</v>
      </c>
      <c r="L32" t="s">
        <v>31</v>
      </c>
      <c r="M32" t="s">
        <v>32</v>
      </c>
      <c r="N32" t="s">
        <v>32</v>
      </c>
      <c r="O32" t="s">
        <v>32</v>
      </c>
      <c r="P32" t="s">
        <v>33</v>
      </c>
      <c r="Q32" t="s">
        <v>167</v>
      </c>
      <c r="R32" s="3">
        <v>3</v>
      </c>
      <c r="S32" t="s">
        <v>32</v>
      </c>
      <c r="T32" s="1">
        <v>45015.532858796294</v>
      </c>
      <c r="U32" s="1">
        <v>45428.53733796296</v>
      </c>
      <c r="V32" s="2" t="s">
        <v>168</v>
      </c>
    </row>
    <row r="33" spans="1:22" hidden="1" x14ac:dyDescent="0.45">
      <c r="A33" t="s">
        <v>21</v>
      </c>
      <c r="B33" t="s">
        <v>22</v>
      </c>
      <c r="C33" t="s">
        <v>169</v>
      </c>
      <c r="D33" t="s">
        <v>170</v>
      </c>
      <c r="F33" t="s">
        <v>25</v>
      </c>
      <c r="G33" t="s">
        <v>26</v>
      </c>
      <c r="H33" t="s">
        <v>27</v>
      </c>
      <c r="I33" t="s">
        <v>28</v>
      </c>
      <c r="J33" t="s">
        <v>29</v>
      </c>
      <c r="K33" t="s">
        <v>30</v>
      </c>
      <c r="L33" t="s">
        <v>31</v>
      </c>
      <c r="M33" t="s">
        <v>32</v>
      </c>
      <c r="N33" t="s">
        <v>32</v>
      </c>
      <c r="O33" t="s">
        <v>32</v>
      </c>
      <c r="P33" t="s">
        <v>33</v>
      </c>
      <c r="Q33" t="s">
        <v>171</v>
      </c>
      <c r="R33" s="3">
        <v>5</v>
      </c>
      <c r="S33" t="s">
        <v>32</v>
      </c>
      <c r="T33" s="1">
        <v>45015.532870370371</v>
      </c>
      <c r="U33" s="1">
        <v>45526.657916666663</v>
      </c>
      <c r="V33" s="2" t="s">
        <v>172</v>
      </c>
    </row>
    <row r="34" spans="1:22" hidden="1" x14ac:dyDescent="0.45">
      <c r="A34" t="s">
        <v>21</v>
      </c>
      <c r="B34" t="s">
        <v>22</v>
      </c>
      <c r="C34" t="s">
        <v>173</v>
      </c>
      <c r="D34" t="s">
        <v>174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 t="s">
        <v>30</v>
      </c>
      <c r="L34" t="s">
        <v>31</v>
      </c>
      <c r="M34" t="s">
        <v>32</v>
      </c>
      <c r="N34" t="s">
        <v>32</v>
      </c>
      <c r="O34" t="s">
        <v>32</v>
      </c>
      <c r="P34" t="s">
        <v>33</v>
      </c>
      <c r="Q34" t="s">
        <v>175</v>
      </c>
      <c r="R34" s="3">
        <v>5</v>
      </c>
      <c r="S34" t="s">
        <v>32</v>
      </c>
      <c r="T34" s="1">
        <v>45015.532870370371</v>
      </c>
      <c r="U34" s="1">
        <v>45428.716574074075</v>
      </c>
      <c r="V34" s="2" t="s">
        <v>176</v>
      </c>
    </row>
    <row r="35" spans="1:22" hidden="1" x14ac:dyDescent="0.45">
      <c r="A35" t="s">
        <v>21</v>
      </c>
      <c r="B35" t="s">
        <v>22</v>
      </c>
      <c r="C35" t="s">
        <v>177</v>
      </c>
      <c r="D35" t="s">
        <v>178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 t="s">
        <v>30</v>
      </c>
      <c r="L35" t="s">
        <v>31</v>
      </c>
      <c r="M35" t="s">
        <v>32</v>
      </c>
      <c r="N35" t="s">
        <v>32</v>
      </c>
      <c r="O35" t="s">
        <v>32</v>
      </c>
      <c r="P35" t="s">
        <v>33</v>
      </c>
      <c r="Q35" t="s">
        <v>179</v>
      </c>
      <c r="R35" s="3">
        <v>5</v>
      </c>
      <c r="S35" t="s">
        <v>32</v>
      </c>
      <c r="T35" s="1">
        <v>45015.532870370371</v>
      </c>
      <c r="U35" s="1">
        <v>45428.71665509259</v>
      </c>
      <c r="V35" s="2" t="s">
        <v>180</v>
      </c>
    </row>
    <row r="36" spans="1:22" hidden="1" x14ac:dyDescent="0.45">
      <c r="A36" t="s">
        <v>21</v>
      </c>
      <c r="B36" t="s">
        <v>22</v>
      </c>
      <c r="C36" t="s">
        <v>181</v>
      </c>
      <c r="D36" t="s">
        <v>182</v>
      </c>
      <c r="F36" t="s">
        <v>25</v>
      </c>
      <c r="G36" t="s">
        <v>26</v>
      </c>
      <c r="H36" t="s">
        <v>27</v>
      </c>
      <c r="I36" t="s">
        <v>28</v>
      </c>
      <c r="J36" t="s">
        <v>29</v>
      </c>
      <c r="K36" t="s">
        <v>30</v>
      </c>
      <c r="L36" t="s">
        <v>31</v>
      </c>
      <c r="M36" t="s">
        <v>32</v>
      </c>
      <c r="N36" t="s">
        <v>32</v>
      </c>
      <c r="O36" t="s">
        <v>32</v>
      </c>
      <c r="P36" t="s">
        <v>33</v>
      </c>
      <c r="Q36" t="s">
        <v>183</v>
      </c>
      <c r="R36" s="3">
        <v>5</v>
      </c>
      <c r="S36" t="s">
        <v>32</v>
      </c>
      <c r="T36" s="1">
        <v>45015.532870370371</v>
      </c>
      <c r="U36" s="1">
        <v>45428.716747685183</v>
      </c>
      <c r="V36" s="2" t="s">
        <v>184</v>
      </c>
    </row>
    <row r="37" spans="1:22" hidden="1" x14ac:dyDescent="0.45">
      <c r="A37" t="s">
        <v>21</v>
      </c>
      <c r="B37" t="s">
        <v>22</v>
      </c>
      <c r="C37" t="s">
        <v>185</v>
      </c>
      <c r="D37" t="s">
        <v>186</v>
      </c>
      <c r="F37" t="s">
        <v>187</v>
      </c>
      <c r="G37" t="s">
        <v>188</v>
      </c>
      <c r="H37" t="s">
        <v>189</v>
      </c>
      <c r="I37" t="s">
        <v>190</v>
      </c>
      <c r="J37" t="s">
        <v>29</v>
      </c>
      <c r="K37" t="s">
        <v>30</v>
      </c>
      <c r="L37" t="s">
        <v>31</v>
      </c>
      <c r="M37" t="s">
        <v>32</v>
      </c>
      <c r="N37" t="s">
        <v>32</v>
      </c>
      <c r="O37" t="s">
        <v>32</v>
      </c>
      <c r="P37" t="s">
        <v>33</v>
      </c>
      <c r="Q37" t="s">
        <v>191</v>
      </c>
      <c r="R37" s="3">
        <v>3</v>
      </c>
      <c r="S37" t="s">
        <v>32</v>
      </c>
      <c r="T37" s="1">
        <v>45441.483958333331</v>
      </c>
      <c r="U37" s="1">
        <v>45441.484120370369</v>
      </c>
      <c r="V37" s="2" t="s">
        <v>192</v>
      </c>
    </row>
    <row r="38" spans="1:22" hidden="1" x14ac:dyDescent="0.45">
      <c r="A38" t="s">
        <v>21</v>
      </c>
      <c r="B38" t="s">
        <v>22</v>
      </c>
      <c r="C38" t="s">
        <v>193</v>
      </c>
      <c r="D38" t="s">
        <v>194</v>
      </c>
      <c r="F38" t="s">
        <v>56</v>
      </c>
      <c r="G38" t="s">
        <v>26</v>
      </c>
      <c r="H38" t="s">
        <v>27</v>
      </c>
      <c r="I38" t="s">
        <v>28</v>
      </c>
      <c r="J38" t="s">
        <v>29</v>
      </c>
      <c r="K38" t="s">
        <v>30</v>
      </c>
      <c r="L38" t="s">
        <v>31</v>
      </c>
      <c r="M38" t="s">
        <v>32</v>
      </c>
      <c r="N38" t="s">
        <v>32</v>
      </c>
      <c r="O38" t="s">
        <v>32</v>
      </c>
      <c r="P38" t="s">
        <v>33</v>
      </c>
      <c r="Q38" t="s">
        <v>195</v>
      </c>
      <c r="R38" s="3">
        <v>3</v>
      </c>
      <c r="S38" t="s">
        <v>32</v>
      </c>
      <c r="T38" s="1">
        <v>45015.532870370371</v>
      </c>
      <c r="U38" s="1">
        <v>45492.607037037036</v>
      </c>
      <c r="V38" s="2" t="s">
        <v>196</v>
      </c>
    </row>
    <row r="39" spans="1:22" hidden="1" x14ac:dyDescent="0.45">
      <c r="A39" t="s">
        <v>21</v>
      </c>
      <c r="B39" t="s">
        <v>22</v>
      </c>
      <c r="C39" t="s">
        <v>197</v>
      </c>
      <c r="D39" t="s">
        <v>198</v>
      </c>
      <c r="F39" t="s">
        <v>56</v>
      </c>
      <c r="G39" t="s">
        <v>26</v>
      </c>
      <c r="H39" t="s">
        <v>27</v>
      </c>
      <c r="I39" t="s">
        <v>28</v>
      </c>
      <c r="J39" t="s">
        <v>29</v>
      </c>
      <c r="K39" t="s">
        <v>30</v>
      </c>
      <c r="L39" t="s">
        <v>31</v>
      </c>
      <c r="M39" t="s">
        <v>32</v>
      </c>
      <c r="N39" t="s">
        <v>32</v>
      </c>
      <c r="O39" t="s">
        <v>32</v>
      </c>
      <c r="P39" t="s">
        <v>33</v>
      </c>
      <c r="Q39" t="s">
        <v>199</v>
      </c>
      <c r="R39" s="3">
        <v>3</v>
      </c>
      <c r="S39" t="s">
        <v>32</v>
      </c>
      <c r="T39" s="1">
        <v>45015.532870370371</v>
      </c>
      <c r="U39" s="1">
        <v>45428.537407407406</v>
      </c>
      <c r="V39" s="2" t="s">
        <v>200</v>
      </c>
    </row>
    <row r="40" spans="1:22" hidden="1" x14ac:dyDescent="0.45">
      <c r="A40" t="s">
        <v>21</v>
      </c>
      <c r="B40" t="s">
        <v>22</v>
      </c>
      <c r="C40" t="s">
        <v>201</v>
      </c>
      <c r="D40" t="s">
        <v>202</v>
      </c>
      <c r="F40" t="s">
        <v>25</v>
      </c>
      <c r="G40" t="s">
        <v>26</v>
      </c>
      <c r="H40" t="s">
        <v>27</v>
      </c>
      <c r="I40" t="s">
        <v>28</v>
      </c>
      <c r="J40" t="s">
        <v>29</v>
      </c>
      <c r="K40" t="s">
        <v>30</v>
      </c>
      <c r="L40" t="s">
        <v>31</v>
      </c>
      <c r="M40" t="s">
        <v>32</v>
      </c>
      <c r="N40" t="s">
        <v>32</v>
      </c>
      <c r="O40" t="s">
        <v>32</v>
      </c>
      <c r="P40" t="s">
        <v>33</v>
      </c>
      <c r="Q40" t="s">
        <v>203</v>
      </c>
      <c r="R40" s="3">
        <v>10</v>
      </c>
      <c r="S40" t="s">
        <v>32</v>
      </c>
      <c r="T40" s="1">
        <v>45015.532870370371</v>
      </c>
      <c r="U40" s="1">
        <v>45428.71837962963</v>
      </c>
      <c r="V40" s="2" t="s">
        <v>204</v>
      </c>
    </row>
    <row r="41" spans="1:22" hidden="1" x14ac:dyDescent="0.45">
      <c r="A41" t="s">
        <v>21</v>
      </c>
      <c r="B41" t="s">
        <v>22</v>
      </c>
      <c r="C41" t="s">
        <v>205</v>
      </c>
      <c r="D41" t="s">
        <v>206</v>
      </c>
      <c r="F41" t="s">
        <v>25</v>
      </c>
      <c r="G41" t="s">
        <v>26</v>
      </c>
      <c r="H41" t="s">
        <v>27</v>
      </c>
      <c r="I41" t="s">
        <v>28</v>
      </c>
      <c r="J41" t="s">
        <v>29</v>
      </c>
      <c r="K41" t="s">
        <v>30</v>
      </c>
      <c r="L41" t="s">
        <v>31</v>
      </c>
      <c r="M41" t="s">
        <v>32</v>
      </c>
      <c r="N41" t="s">
        <v>32</v>
      </c>
      <c r="O41" t="s">
        <v>32</v>
      </c>
      <c r="P41" t="s">
        <v>33</v>
      </c>
      <c r="Q41" t="s">
        <v>207</v>
      </c>
      <c r="R41" s="3" t="s">
        <v>32</v>
      </c>
      <c r="S41" t="s">
        <v>32</v>
      </c>
      <c r="T41" s="1">
        <v>45474.7419212963</v>
      </c>
      <c r="U41" s="1">
        <v>45483.535243055558</v>
      </c>
      <c r="V41" s="2" t="s">
        <v>208</v>
      </c>
    </row>
    <row r="42" spans="1:22" hidden="1" x14ac:dyDescent="0.45">
      <c r="A42" t="s">
        <v>21</v>
      </c>
      <c r="B42" t="s">
        <v>22</v>
      </c>
      <c r="C42" t="s">
        <v>209</v>
      </c>
      <c r="D42" t="s">
        <v>210</v>
      </c>
      <c r="F42" t="s">
        <v>25</v>
      </c>
      <c r="G42" t="s">
        <v>26</v>
      </c>
      <c r="H42" t="s">
        <v>27</v>
      </c>
      <c r="I42" t="s">
        <v>28</v>
      </c>
      <c r="J42" t="s">
        <v>29</v>
      </c>
      <c r="K42" t="s">
        <v>30</v>
      </c>
      <c r="L42" t="s">
        <v>31</v>
      </c>
      <c r="M42" t="s">
        <v>32</v>
      </c>
      <c r="N42" t="s">
        <v>32</v>
      </c>
      <c r="O42" t="s">
        <v>32</v>
      </c>
      <c r="P42" t="s">
        <v>33</v>
      </c>
      <c r="Q42" t="s">
        <v>211</v>
      </c>
      <c r="R42" s="3">
        <v>15</v>
      </c>
      <c r="S42" t="s">
        <v>32</v>
      </c>
      <c r="T42" s="1">
        <v>45469.662893518522</v>
      </c>
      <c r="U42" s="1">
        <v>45470.707743055558</v>
      </c>
      <c r="V42" s="2" t="s">
        <v>212</v>
      </c>
    </row>
    <row r="43" spans="1:22" hidden="1" x14ac:dyDescent="0.45">
      <c r="A43" t="s">
        <v>21</v>
      </c>
      <c r="B43" t="s">
        <v>213</v>
      </c>
      <c r="C43" t="s">
        <v>214</v>
      </c>
      <c r="D43" t="s">
        <v>215</v>
      </c>
      <c r="F43" t="s">
        <v>76</v>
      </c>
      <c r="G43" t="s">
        <v>26</v>
      </c>
      <c r="H43" t="s">
        <v>27</v>
      </c>
      <c r="I43" t="s">
        <v>28</v>
      </c>
      <c r="J43" t="s">
        <v>216</v>
      </c>
      <c r="K43" t="s">
        <v>30</v>
      </c>
      <c r="L43" t="s">
        <v>31</v>
      </c>
      <c r="M43" t="s">
        <v>32</v>
      </c>
      <c r="N43" t="s">
        <v>32</v>
      </c>
      <c r="O43" t="s">
        <v>32</v>
      </c>
      <c r="P43" t="s">
        <v>33</v>
      </c>
      <c r="Q43" t="s">
        <v>217</v>
      </c>
      <c r="R43" s="3">
        <v>10</v>
      </c>
      <c r="S43" t="s">
        <v>32</v>
      </c>
      <c r="T43" s="1">
        <v>45015.532870370371</v>
      </c>
      <c r="U43" s="1">
        <v>45428.71738425926</v>
      </c>
      <c r="V43" s="2" t="s">
        <v>218</v>
      </c>
    </row>
    <row r="44" spans="1:22" hidden="1" x14ac:dyDescent="0.45">
      <c r="A44" t="s">
        <v>21</v>
      </c>
      <c r="B44" t="s">
        <v>213</v>
      </c>
      <c r="C44" t="s">
        <v>219</v>
      </c>
      <c r="D44" t="s">
        <v>220</v>
      </c>
      <c r="F44" t="s">
        <v>76</v>
      </c>
      <c r="G44" t="s">
        <v>26</v>
      </c>
      <c r="H44" t="s">
        <v>27</v>
      </c>
      <c r="I44" t="s">
        <v>28</v>
      </c>
      <c r="J44" t="s">
        <v>216</v>
      </c>
      <c r="K44" t="s">
        <v>30</v>
      </c>
      <c r="L44" t="s">
        <v>31</v>
      </c>
      <c r="M44" t="s">
        <v>32</v>
      </c>
      <c r="N44" t="s">
        <v>32</v>
      </c>
      <c r="O44" t="s">
        <v>32</v>
      </c>
      <c r="P44" t="s">
        <v>33</v>
      </c>
      <c r="Q44" t="s">
        <v>221</v>
      </c>
      <c r="R44" s="3" t="s">
        <v>32</v>
      </c>
      <c r="S44" t="s">
        <v>32</v>
      </c>
      <c r="T44" s="1">
        <v>45015.532870370371</v>
      </c>
      <c r="U44" s="1">
        <v>45423.684189814812</v>
      </c>
      <c r="V44" s="2" t="s">
        <v>222</v>
      </c>
    </row>
    <row r="45" spans="1:22" hidden="1" x14ac:dyDescent="0.45">
      <c r="A45" t="s">
        <v>21</v>
      </c>
      <c r="B45" t="s">
        <v>213</v>
      </c>
      <c r="C45" t="s">
        <v>223</v>
      </c>
      <c r="D45" t="s">
        <v>224</v>
      </c>
      <c r="F45" t="s">
        <v>25</v>
      </c>
      <c r="G45" t="s">
        <v>26</v>
      </c>
      <c r="H45" t="s">
        <v>27</v>
      </c>
      <c r="I45" t="s">
        <v>28</v>
      </c>
      <c r="J45" t="s">
        <v>216</v>
      </c>
      <c r="K45" t="s">
        <v>30</v>
      </c>
      <c r="L45" t="s">
        <v>31</v>
      </c>
      <c r="M45" t="s">
        <v>32</v>
      </c>
      <c r="N45" t="s">
        <v>32</v>
      </c>
      <c r="O45" t="s">
        <v>32</v>
      </c>
      <c r="P45" t="s">
        <v>33</v>
      </c>
      <c r="Q45" t="s">
        <v>225</v>
      </c>
      <c r="R45" s="3">
        <v>6</v>
      </c>
      <c r="S45" t="s">
        <v>32</v>
      </c>
      <c r="T45" s="1">
        <v>45015.532870370371</v>
      </c>
      <c r="U45" s="1">
        <v>45496.694155092591</v>
      </c>
      <c r="V45" s="2" t="s">
        <v>226</v>
      </c>
    </row>
    <row r="46" spans="1:22" hidden="1" x14ac:dyDescent="0.45">
      <c r="A46" t="s">
        <v>21</v>
      </c>
      <c r="B46" t="s">
        <v>213</v>
      </c>
      <c r="C46" t="s">
        <v>227</v>
      </c>
      <c r="D46" t="s">
        <v>228</v>
      </c>
      <c r="F46" t="s">
        <v>102</v>
      </c>
      <c r="G46" t="s">
        <v>26</v>
      </c>
      <c r="H46" t="s">
        <v>27</v>
      </c>
      <c r="I46" t="s">
        <v>28</v>
      </c>
      <c r="J46" t="s">
        <v>216</v>
      </c>
      <c r="K46" t="s">
        <v>30</v>
      </c>
      <c r="L46" t="s">
        <v>31</v>
      </c>
      <c r="M46" t="s">
        <v>32</v>
      </c>
      <c r="N46" t="s">
        <v>32</v>
      </c>
      <c r="O46" t="s">
        <v>32</v>
      </c>
      <c r="P46" t="s">
        <v>33</v>
      </c>
      <c r="Q46" t="s">
        <v>229</v>
      </c>
      <c r="R46" s="3">
        <v>5</v>
      </c>
      <c r="S46" t="s">
        <v>32</v>
      </c>
      <c r="T46" s="1">
        <v>45015.532870370371</v>
      </c>
      <c r="U46" s="1">
        <v>45428.717499999999</v>
      </c>
      <c r="V46" s="2" t="s">
        <v>230</v>
      </c>
    </row>
    <row r="47" spans="1:22" hidden="1" x14ac:dyDescent="0.45">
      <c r="A47" t="s">
        <v>21</v>
      </c>
      <c r="B47" t="s">
        <v>59</v>
      </c>
      <c r="C47" t="s">
        <v>231</v>
      </c>
      <c r="D47" t="s">
        <v>232</v>
      </c>
      <c r="F47" t="s">
        <v>233</v>
      </c>
      <c r="G47" t="s">
        <v>26</v>
      </c>
      <c r="H47" t="s">
        <v>62</v>
      </c>
      <c r="I47" t="s">
        <v>28</v>
      </c>
      <c r="J47" t="s">
        <v>32</v>
      </c>
      <c r="K47" t="s">
        <v>63</v>
      </c>
      <c r="L47" t="s">
        <v>64</v>
      </c>
      <c r="M47" t="s">
        <v>32</v>
      </c>
      <c r="N47" t="s">
        <v>32</v>
      </c>
      <c r="O47" t="s">
        <v>32</v>
      </c>
      <c r="P47" t="s">
        <v>32</v>
      </c>
      <c r="Q47" t="s">
        <v>234</v>
      </c>
      <c r="R47" s="3" t="s">
        <v>32</v>
      </c>
      <c r="S47" t="s">
        <v>32</v>
      </c>
      <c r="T47" s="1">
        <v>45015.5390625</v>
      </c>
      <c r="U47" s="1">
        <v>45423.696076388886</v>
      </c>
      <c r="V47" s="2" t="s">
        <v>235</v>
      </c>
    </row>
    <row r="48" spans="1:22" hidden="1" x14ac:dyDescent="0.45">
      <c r="A48" t="s">
        <v>21</v>
      </c>
      <c r="B48" t="s">
        <v>59</v>
      </c>
      <c r="C48" t="s">
        <v>236</v>
      </c>
      <c r="D48" t="s">
        <v>237</v>
      </c>
      <c r="F48" t="s">
        <v>233</v>
      </c>
      <c r="G48" t="s">
        <v>26</v>
      </c>
      <c r="H48" t="s">
        <v>62</v>
      </c>
      <c r="I48" t="s">
        <v>28</v>
      </c>
      <c r="J48" t="s">
        <v>32</v>
      </c>
      <c r="K48" t="s">
        <v>63</v>
      </c>
      <c r="L48" t="s">
        <v>64</v>
      </c>
      <c r="M48" t="s">
        <v>32</v>
      </c>
      <c r="N48" t="s">
        <v>32</v>
      </c>
      <c r="O48" t="s">
        <v>32</v>
      </c>
      <c r="P48" t="s">
        <v>32</v>
      </c>
      <c r="Q48" t="s">
        <v>238</v>
      </c>
      <c r="R48" s="3" t="s">
        <v>32</v>
      </c>
      <c r="S48" t="s">
        <v>32</v>
      </c>
      <c r="T48" s="1">
        <v>45015.5390625</v>
      </c>
      <c r="U48" s="1">
        <v>45423.696493055555</v>
      </c>
      <c r="V48" s="2" t="s">
        <v>239</v>
      </c>
    </row>
    <row r="49" spans="1:22" hidden="1" x14ac:dyDescent="0.45">
      <c r="A49" t="s">
        <v>21</v>
      </c>
      <c r="B49" t="s">
        <v>59</v>
      </c>
      <c r="C49" t="s">
        <v>240</v>
      </c>
      <c r="D49" t="s">
        <v>241</v>
      </c>
      <c r="F49" t="s">
        <v>102</v>
      </c>
      <c r="G49" t="s">
        <v>26</v>
      </c>
      <c r="H49" t="s">
        <v>62</v>
      </c>
      <c r="I49" t="s">
        <v>28</v>
      </c>
      <c r="J49" t="s">
        <v>32</v>
      </c>
      <c r="K49" t="s">
        <v>63</v>
      </c>
      <c r="L49" t="s">
        <v>64</v>
      </c>
      <c r="M49" t="s">
        <v>32</v>
      </c>
      <c r="N49" t="s">
        <v>32</v>
      </c>
      <c r="O49" t="s">
        <v>32</v>
      </c>
      <c r="P49" t="s">
        <v>32</v>
      </c>
      <c r="Q49" t="s">
        <v>242</v>
      </c>
      <c r="R49" s="3" t="s">
        <v>32</v>
      </c>
      <c r="S49" t="s">
        <v>32</v>
      </c>
      <c r="T49" s="1">
        <v>45015.5390625</v>
      </c>
      <c r="U49" s="1">
        <v>45423.69672453704</v>
      </c>
      <c r="V49" s="2" t="s">
        <v>243</v>
      </c>
    </row>
    <row r="50" spans="1:22" hidden="1" x14ac:dyDescent="0.45">
      <c r="A50" t="s">
        <v>21</v>
      </c>
      <c r="B50" t="s">
        <v>59</v>
      </c>
      <c r="C50" t="s">
        <v>244</v>
      </c>
      <c r="D50" t="s">
        <v>245</v>
      </c>
      <c r="F50" t="s">
        <v>76</v>
      </c>
      <c r="G50" t="s">
        <v>188</v>
      </c>
      <c r="H50" t="s">
        <v>246</v>
      </c>
      <c r="I50" t="s">
        <v>190</v>
      </c>
      <c r="J50" t="s">
        <v>32</v>
      </c>
      <c r="K50" t="s">
        <v>63</v>
      </c>
      <c r="L50" t="s">
        <v>64</v>
      </c>
      <c r="M50" t="s">
        <v>32</v>
      </c>
      <c r="N50" t="s">
        <v>246</v>
      </c>
      <c r="O50" t="s">
        <v>247</v>
      </c>
      <c r="P50" t="s">
        <v>32</v>
      </c>
      <c r="Q50" t="s">
        <v>248</v>
      </c>
      <c r="R50" s="3" t="s">
        <v>32</v>
      </c>
      <c r="S50" t="s">
        <v>32</v>
      </c>
      <c r="T50" s="1">
        <v>45441.448495370372</v>
      </c>
      <c r="U50" s="1">
        <v>45441.448495370372</v>
      </c>
      <c r="V50" s="2" t="s">
        <v>249</v>
      </c>
    </row>
    <row r="51" spans="1:22" hidden="1" x14ac:dyDescent="0.45">
      <c r="A51" t="s">
        <v>21</v>
      </c>
      <c r="B51" t="s">
        <v>59</v>
      </c>
      <c r="C51" t="s">
        <v>250</v>
      </c>
      <c r="D51" t="s">
        <v>251</v>
      </c>
      <c r="F51" t="s">
        <v>85</v>
      </c>
      <c r="G51" t="s">
        <v>26</v>
      </c>
      <c r="H51" t="s">
        <v>62</v>
      </c>
      <c r="I51" t="s">
        <v>28</v>
      </c>
      <c r="J51" t="s">
        <v>32</v>
      </c>
      <c r="K51" t="s">
        <v>63</v>
      </c>
      <c r="L51" t="s">
        <v>64</v>
      </c>
      <c r="M51" t="s">
        <v>32</v>
      </c>
      <c r="N51" t="s">
        <v>32</v>
      </c>
      <c r="O51" t="s">
        <v>32</v>
      </c>
      <c r="P51" t="s">
        <v>32</v>
      </c>
      <c r="Q51" t="s">
        <v>252</v>
      </c>
      <c r="R51" s="3" t="s">
        <v>32</v>
      </c>
      <c r="S51" t="s">
        <v>32</v>
      </c>
      <c r="T51" s="1">
        <v>45015.5390625</v>
      </c>
      <c r="U51" s="1">
        <v>45423.697013888886</v>
      </c>
      <c r="V51" s="2" t="s">
        <v>253</v>
      </c>
    </row>
    <row r="52" spans="1:22" hidden="1" x14ac:dyDescent="0.45">
      <c r="A52" t="s">
        <v>21</v>
      </c>
      <c r="B52" t="s">
        <v>59</v>
      </c>
      <c r="C52" t="s">
        <v>254</v>
      </c>
      <c r="D52" t="s">
        <v>255</v>
      </c>
      <c r="F52" t="s">
        <v>71</v>
      </c>
      <c r="G52" t="s">
        <v>26</v>
      </c>
      <c r="H52" t="s">
        <v>62</v>
      </c>
      <c r="I52" t="s">
        <v>28</v>
      </c>
      <c r="J52" t="s">
        <v>256</v>
      </c>
      <c r="K52" t="s">
        <v>63</v>
      </c>
      <c r="L52" t="s">
        <v>64</v>
      </c>
      <c r="M52" t="s">
        <v>32</v>
      </c>
      <c r="N52" t="s">
        <v>32</v>
      </c>
      <c r="O52" t="s">
        <v>32</v>
      </c>
      <c r="P52" t="s">
        <v>32</v>
      </c>
      <c r="Q52" t="s">
        <v>257</v>
      </c>
      <c r="R52" s="3" t="s">
        <v>32</v>
      </c>
      <c r="S52" t="s">
        <v>32</v>
      </c>
      <c r="T52" s="1">
        <v>45015.532870370371</v>
      </c>
      <c r="U52" s="1">
        <v>45545.635115740741</v>
      </c>
      <c r="V52" s="2" t="s">
        <v>258</v>
      </c>
    </row>
    <row r="53" spans="1:22" hidden="1" x14ac:dyDescent="0.45">
      <c r="A53" t="s">
        <v>21</v>
      </c>
      <c r="B53" t="s">
        <v>59</v>
      </c>
      <c r="C53" t="s">
        <v>259</v>
      </c>
      <c r="D53" t="s">
        <v>260</v>
      </c>
      <c r="F53" t="s">
        <v>56</v>
      </c>
      <c r="G53" t="s">
        <v>26</v>
      </c>
      <c r="H53" t="s">
        <v>62</v>
      </c>
      <c r="I53" t="s">
        <v>28</v>
      </c>
      <c r="J53" t="s">
        <v>32</v>
      </c>
      <c r="K53" t="s">
        <v>63</v>
      </c>
      <c r="L53" t="s">
        <v>64</v>
      </c>
      <c r="M53" t="s">
        <v>32</v>
      </c>
      <c r="N53" t="s">
        <v>32</v>
      </c>
      <c r="O53" t="s">
        <v>32</v>
      </c>
      <c r="P53" t="s">
        <v>32</v>
      </c>
      <c r="Q53" t="s">
        <v>261</v>
      </c>
      <c r="R53" s="3" t="s">
        <v>32</v>
      </c>
      <c r="S53" t="s">
        <v>32</v>
      </c>
      <c r="T53" s="1">
        <v>45015.5390625</v>
      </c>
      <c r="U53" s="1">
        <v>45423.697627314818</v>
      </c>
      <c r="V53" s="2" t="s">
        <v>262</v>
      </c>
    </row>
    <row r="54" spans="1:22" hidden="1" x14ac:dyDescent="0.45">
      <c r="A54" t="s">
        <v>21</v>
      </c>
      <c r="B54" t="s">
        <v>59</v>
      </c>
      <c r="C54" t="s">
        <v>263</v>
      </c>
      <c r="D54" t="s">
        <v>264</v>
      </c>
      <c r="F54" t="s">
        <v>71</v>
      </c>
      <c r="G54" t="s">
        <v>188</v>
      </c>
      <c r="H54" t="s">
        <v>246</v>
      </c>
      <c r="I54" t="s">
        <v>190</v>
      </c>
      <c r="J54" t="s">
        <v>265</v>
      </c>
      <c r="K54" t="s">
        <v>63</v>
      </c>
      <c r="L54" t="s">
        <v>64</v>
      </c>
      <c r="M54" t="s">
        <v>32</v>
      </c>
      <c r="N54" t="s">
        <v>246</v>
      </c>
      <c r="O54" t="s">
        <v>247</v>
      </c>
      <c r="P54" t="s">
        <v>32</v>
      </c>
      <c r="Q54" t="s">
        <v>266</v>
      </c>
      <c r="R54" s="3" t="s">
        <v>32</v>
      </c>
      <c r="S54" t="s">
        <v>32</v>
      </c>
      <c r="T54" s="1">
        <v>45439.728368055556</v>
      </c>
      <c r="U54" s="1">
        <v>45439.728368055556</v>
      </c>
      <c r="V54" s="2" t="s">
        <v>267</v>
      </c>
    </row>
    <row r="55" spans="1:22" hidden="1" x14ac:dyDescent="0.45">
      <c r="A55" t="s">
        <v>21</v>
      </c>
      <c r="B55" t="s">
        <v>59</v>
      </c>
      <c r="C55" t="s">
        <v>268</v>
      </c>
      <c r="D55" t="s">
        <v>269</v>
      </c>
      <c r="F55" t="s">
        <v>71</v>
      </c>
      <c r="G55" t="s">
        <v>188</v>
      </c>
      <c r="H55" t="s">
        <v>246</v>
      </c>
      <c r="I55" t="s">
        <v>190</v>
      </c>
      <c r="J55" t="s">
        <v>32</v>
      </c>
      <c r="K55" t="s">
        <v>63</v>
      </c>
      <c r="L55" t="s">
        <v>64</v>
      </c>
      <c r="M55" t="s">
        <v>32</v>
      </c>
      <c r="N55" t="s">
        <v>246</v>
      </c>
      <c r="O55" t="s">
        <v>247</v>
      </c>
      <c r="P55" t="s">
        <v>32</v>
      </c>
      <c r="Q55" t="s">
        <v>270</v>
      </c>
      <c r="R55" s="3" t="s">
        <v>32</v>
      </c>
      <c r="S55" t="s">
        <v>32</v>
      </c>
      <c r="T55" s="1">
        <v>45439.729004629633</v>
      </c>
      <c r="U55" s="1">
        <v>45439.729004629633</v>
      </c>
      <c r="V55" s="2" t="s">
        <v>271</v>
      </c>
    </row>
    <row r="56" spans="1:22" hidden="1" x14ac:dyDescent="0.45">
      <c r="A56" t="s">
        <v>21</v>
      </c>
      <c r="B56" t="s">
        <v>59</v>
      </c>
      <c r="C56" t="s">
        <v>272</v>
      </c>
      <c r="D56" t="s">
        <v>273</v>
      </c>
      <c r="F56" t="s">
        <v>187</v>
      </c>
      <c r="G56" t="s">
        <v>26</v>
      </c>
      <c r="H56" t="s">
        <v>62</v>
      </c>
      <c r="I56" t="s">
        <v>28</v>
      </c>
      <c r="J56" t="s">
        <v>274</v>
      </c>
      <c r="K56" t="s">
        <v>63</v>
      </c>
      <c r="L56" t="s">
        <v>64</v>
      </c>
      <c r="M56" t="s">
        <v>32</v>
      </c>
      <c r="N56" t="s">
        <v>65</v>
      </c>
      <c r="O56" t="s">
        <v>66</v>
      </c>
      <c r="P56" t="s">
        <v>32</v>
      </c>
      <c r="Q56" t="s">
        <v>275</v>
      </c>
      <c r="R56" s="3" t="s">
        <v>32</v>
      </c>
      <c r="S56" t="s">
        <v>32</v>
      </c>
      <c r="T56" s="1">
        <v>45528.53324074074</v>
      </c>
      <c r="U56" s="1">
        <v>45528.534687500003</v>
      </c>
      <c r="V56" s="2" t="s">
        <v>276</v>
      </c>
    </row>
    <row r="57" spans="1:22" hidden="1" x14ac:dyDescent="0.45">
      <c r="A57" t="s">
        <v>21</v>
      </c>
      <c r="B57" t="s">
        <v>277</v>
      </c>
      <c r="C57" t="s">
        <v>278</v>
      </c>
      <c r="D57" t="s">
        <v>279</v>
      </c>
      <c r="F57" t="s">
        <v>85</v>
      </c>
      <c r="G57" t="s">
        <v>26</v>
      </c>
      <c r="H57" t="s">
        <v>280</v>
      </c>
      <c r="I57" t="s">
        <v>281</v>
      </c>
      <c r="J57" t="s">
        <v>32</v>
      </c>
      <c r="K57" t="s">
        <v>63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282</v>
      </c>
      <c r="R57" s="3" t="s">
        <v>32</v>
      </c>
      <c r="S57" t="s">
        <v>32</v>
      </c>
      <c r="T57" s="1">
        <v>45015.532870370371</v>
      </c>
      <c r="U57" s="1">
        <v>45423.699814814812</v>
      </c>
      <c r="V57" s="2" t="s">
        <v>283</v>
      </c>
    </row>
    <row r="58" spans="1:22" hidden="1" x14ac:dyDescent="0.45">
      <c r="A58" t="s">
        <v>21</v>
      </c>
      <c r="B58" t="s">
        <v>284</v>
      </c>
      <c r="C58" t="s">
        <v>285</v>
      </c>
      <c r="D58" t="s">
        <v>286</v>
      </c>
      <c r="F58" t="s">
        <v>85</v>
      </c>
      <c r="G58" t="s">
        <v>188</v>
      </c>
      <c r="H58" t="s">
        <v>189</v>
      </c>
      <c r="I58" t="s">
        <v>287</v>
      </c>
      <c r="J58" t="s">
        <v>32</v>
      </c>
      <c r="K58" t="s">
        <v>63</v>
      </c>
      <c r="L58" t="s">
        <v>288</v>
      </c>
      <c r="M58" t="s">
        <v>32</v>
      </c>
      <c r="N58" t="s">
        <v>289</v>
      </c>
      <c r="O58" t="s">
        <v>290</v>
      </c>
      <c r="P58" t="s">
        <v>32</v>
      </c>
      <c r="Q58" t="s">
        <v>291</v>
      </c>
      <c r="R58" s="3" t="s">
        <v>32</v>
      </c>
      <c r="S58" t="s">
        <v>32</v>
      </c>
      <c r="T58" s="1">
        <v>45015.532870370371</v>
      </c>
      <c r="U58" s="1">
        <v>45423.700821759259</v>
      </c>
      <c r="V58" s="2" t="s">
        <v>292</v>
      </c>
    </row>
    <row r="59" spans="1:22" hidden="1" x14ac:dyDescent="0.45">
      <c r="A59" t="s">
        <v>21</v>
      </c>
      <c r="B59" t="s">
        <v>293</v>
      </c>
      <c r="C59" t="s">
        <v>294</v>
      </c>
      <c r="D59" t="s">
        <v>295</v>
      </c>
      <c r="F59" t="s">
        <v>85</v>
      </c>
      <c r="G59" t="s">
        <v>26</v>
      </c>
      <c r="H59" t="s">
        <v>280</v>
      </c>
      <c r="I59" t="s">
        <v>281</v>
      </c>
      <c r="J59" t="s">
        <v>32</v>
      </c>
      <c r="K59" t="s">
        <v>63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296</v>
      </c>
      <c r="R59" s="3" t="s">
        <v>32</v>
      </c>
      <c r="S59" t="s">
        <v>32</v>
      </c>
      <c r="T59" s="1">
        <v>45015.532870370371</v>
      </c>
      <c r="U59" s="1">
        <v>45423.704421296294</v>
      </c>
      <c r="V59" s="2" t="s">
        <v>297</v>
      </c>
    </row>
    <row r="60" spans="1:22" hidden="1" x14ac:dyDescent="0.45">
      <c r="A60" t="s">
        <v>21</v>
      </c>
      <c r="B60" t="s">
        <v>298</v>
      </c>
      <c r="C60" t="s">
        <v>299</v>
      </c>
      <c r="D60" t="s">
        <v>300</v>
      </c>
      <c r="F60" t="s">
        <v>85</v>
      </c>
      <c r="G60" t="s">
        <v>32</v>
      </c>
      <c r="H60" t="s">
        <v>32</v>
      </c>
      <c r="I60" t="s">
        <v>32</v>
      </c>
      <c r="J60" t="s">
        <v>301</v>
      </c>
      <c r="K60" t="s">
        <v>63</v>
      </c>
      <c r="L60" t="s">
        <v>302</v>
      </c>
      <c r="M60" t="s">
        <v>32</v>
      </c>
      <c r="N60" t="s">
        <v>32</v>
      </c>
      <c r="O60" t="s">
        <v>32</v>
      </c>
      <c r="P60" t="s">
        <v>32</v>
      </c>
      <c r="Q60" t="s">
        <v>303</v>
      </c>
      <c r="R60" s="3" t="s">
        <v>32</v>
      </c>
      <c r="S60" t="s">
        <v>32</v>
      </c>
      <c r="T60" s="1">
        <v>45015.532870370371</v>
      </c>
      <c r="U60" s="1">
        <v>45545.634097222224</v>
      </c>
      <c r="V60" s="2" t="s">
        <v>304</v>
      </c>
    </row>
    <row r="61" spans="1:22" hidden="1" x14ac:dyDescent="0.45">
      <c r="A61" t="s">
        <v>21</v>
      </c>
      <c r="B61" t="s">
        <v>298</v>
      </c>
      <c r="C61" t="s">
        <v>305</v>
      </c>
      <c r="D61" t="s">
        <v>306</v>
      </c>
      <c r="F61" t="s">
        <v>85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302</v>
      </c>
      <c r="M61" t="s">
        <v>32</v>
      </c>
      <c r="N61" t="s">
        <v>32</v>
      </c>
      <c r="O61" t="s">
        <v>32</v>
      </c>
      <c r="P61" t="s">
        <v>32</v>
      </c>
      <c r="Q61" t="s">
        <v>307</v>
      </c>
      <c r="R61" s="3" t="s">
        <v>32</v>
      </c>
      <c r="S61" t="s">
        <v>32</v>
      </c>
      <c r="T61" s="1">
        <v>45015.532870370371</v>
      </c>
      <c r="U61" s="1">
        <v>45015.532870370371</v>
      </c>
      <c r="V61" s="2" t="s">
        <v>308</v>
      </c>
    </row>
    <row r="62" spans="1:22" hidden="1" x14ac:dyDescent="0.45">
      <c r="A62" t="s">
        <v>21</v>
      </c>
      <c r="B62" t="s">
        <v>309</v>
      </c>
      <c r="C62" t="s">
        <v>310</v>
      </c>
      <c r="D62" t="s">
        <v>311</v>
      </c>
      <c r="F62" t="s">
        <v>233</v>
      </c>
      <c r="G62" t="s">
        <v>188</v>
      </c>
      <c r="H62" t="s">
        <v>312</v>
      </c>
      <c r="I62" t="s">
        <v>313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314</v>
      </c>
      <c r="R62" s="3" t="s">
        <v>32</v>
      </c>
      <c r="S62" t="s">
        <v>32</v>
      </c>
      <c r="T62" s="1">
        <v>45015.532870370371</v>
      </c>
      <c r="U62" s="1">
        <v>45015.532870370371</v>
      </c>
      <c r="V62" s="2" t="s">
        <v>315</v>
      </c>
    </row>
    <row r="63" spans="1:22" hidden="1" x14ac:dyDescent="0.45">
      <c r="A63" t="s">
        <v>21</v>
      </c>
      <c r="B63" t="s">
        <v>309</v>
      </c>
      <c r="C63" t="s">
        <v>316</v>
      </c>
      <c r="D63" t="s">
        <v>317</v>
      </c>
      <c r="F63" t="s">
        <v>187</v>
      </c>
      <c r="G63" t="s">
        <v>188</v>
      </c>
      <c r="H63" t="s">
        <v>312</v>
      </c>
      <c r="I63" t="s">
        <v>313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318</v>
      </c>
      <c r="R63" s="3" t="s">
        <v>32</v>
      </c>
      <c r="S63" t="s">
        <v>32</v>
      </c>
      <c r="T63" s="1">
        <v>45015.532881944448</v>
      </c>
      <c r="U63" s="1">
        <v>45015.532881944448</v>
      </c>
      <c r="V63" s="2" t="s">
        <v>319</v>
      </c>
    </row>
    <row r="64" spans="1:22" hidden="1" x14ac:dyDescent="0.45">
      <c r="A64" t="s">
        <v>21</v>
      </c>
      <c r="B64" t="s">
        <v>309</v>
      </c>
      <c r="C64" t="s">
        <v>320</v>
      </c>
      <c r="D64" t="s">
        <v>321</v>
      </c>
      <c r="F64" t="s">
        <v>187</v>
      </c>
      <c r="G64" t="s">
        <v>188</v>
      </c>
      <c r="H64" t="s">
        <v>312</v>
      </c>
      <c r="I64" t="s">
        <v>313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322</v>
      </c>
      <c r="R64" s="3" t="s">
        <v>32</v>
      </c>
      <c r="S64" t="s">
        <v>32</v>
      </c>
      <c r="T64" s="1">
        <v>45015.532881944448</v>
      </c>
      <c r="U64" s="1">
        <v>45015.532881944448</v>
      </c>
      <c r="V64" s="2" t="s">
        <v>323</v>
      </c>
    </row>
    <row r="65" spans="1:22" hidden="1" x14ac:dyDescent="0.45">
      <c r="A65" t="s">
        <v>21</v>
      </c>
      <c r="B65" t="s">
        <v>309</v>
      </c>
      <c r="C65" t="s">
        <v>324</v>
      </c>
      <c r="D65" t="s">
        <v>325</v>
      </c>
      <c r="F65" t="s">
        <v>326</v>
      </c>
      <c r="G65" t="s">
        <v>188</v>
      </c>
      <c r="H65" t="s">
        <v>312</v>
      </c>
      <c r="I65" t="s">
        <v>313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327</v>
      </c>
      <c r="R65" s="3" t="s">
        <v>32</v>
      </c>
      <c r="S65" t="s">
        <v>32</v>
      </c>
      <c r="T65" s="1">
        <v>45015.532881944448</v>
      </c>
      <c r="U65" s="1">
        <v>45015.532881944448</v>
      </c>
      <c r="V65" s="2" t="s">
        <v>328</v>
      </c>
    </row>
    <row r="66" spans="1:22" hidden="1" x14ac:dyDescent="0.45">
      <c r="A66" t="s">
        <v>21</v>
      </c>
      <c r="B66" t="s">
        <v>309</v>
      </c>
      <c r="C66" t="s">
        <v>329</v>
      </c>
      <c r="D66" t="s">
        <v>330</v>
      </c>
      <c r="F66" t="s">
        <v>187</v>
      </c>
      <c r="G66" t="s">
        <v>188</v>
      </c>
      <c r="H66" t="s">
        <v>312</v>
      </c>
      <c r="I66" t="s">
        <v>313</v>
      </c>
      <c r="J66" t="s">
        <v>32</v>
      </c>
      <c r="K66" t="s">
        <v>30</v>
      </c>
      <c r="L66" t="s">
        <v>331</v>
      </c>
      <c r="M66" t="s">
        <v>32</v>
      </c>
      <c r="N66" t="s">
        <v>32</v>
      </c>
      <c r="O66" t="s">
        <v>32</v>
      </c>
      <c r="P66" t="s">
        <v>32</v>
      </c>
      <c r="Q66" t="s">
        <v>332</v>
      </c>
      <c r="R66" s="3" t="s">
        <v>32</v>
      </c>
      <c r="S66" t="s">
        <v>32</v>
      </c>
      <c r="T66" s="1">
        <v>45435.664594907408</v>
      </c>
      <c r="U66" s="1">
        <v>45435.699166666665</v>
      </c>
      <c r="V66" s="2" t="s">
        <v>333</v>
      </c>
    </row>
    <row r="67" spans="1:22" hidden="1" x14ac:dyDescent="0.45">
      <c r="A67" t="s">
        <v>21</v>
      </c>
      <c r="B67" t="s">
        <v>334</v>
      </c>
      <c r="C67" t="s">
        <v>335</v>
      </c>
      <c r="D67" t="s">
        <v>334</v>
      </c>
      <c r="F67" t="s">
        <v>85</v>
      </c>
      <c r="G67" t="s">
        <v>26</v>
      </c>
      <c r="H67" t="s">
        <v>27</v>
      </c>
      <c r="I67" t="s">
        <v>28</v>
      </c>
      <c r="J67" t="s">
        <v>336</v>
      </c>
      <c r="K67" t="s">
        <v>337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 t="s">
        <v>338</v>
      </c>
      <c r="R67" s="3" t="s">
        <v>32</v>
      </c>
      <c r="S67" t="s">
        <v>32</v>
      </c>
      <c r="T67" s="1">
        <v>45015.532881944448</v>
      </c>
      <c r="U67" s="1">
        <v>45545.6327662037</v>
      </c>
      <c r="V67" s="2" t="s">
        <v>339</v>
      </c>
    </row>
    <row r="68" spans="1:22" hidden="1" x14ac:dyDescent="0.45">
      <c r="A68" t="s">
        <v>21</v>
      </c>
      <c r="B68" t="s">
        <v>340</v>
      </c>
      <c r="C68" t="s">
        <v>341</v>
      </c>
      <c r="D68" t="s">
        <v>340</v>
      </c>
      <c r="F68" t="s">
        <v>85</v>
      </c>
      <c r="G68" t="s">
        <v>26</v>
      </c>
      <c r="H68" t="s">
        <v>62</v>
      </c>
      <c r="I68" t="s">
        <v>342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343</v>
      </c>
      <c r="R68" s="3" t="s">
        <v>32</v>
      </c>
      <c r="S68" t="s">
        <v>32</v>
      </c>
      <c r="T68" s="1">
        <v>45015.532881944448</v>
      </c>
      <c r="U68" s="1">
        <v>45423.70685185185</v>
      </c>
      <c r="V68" s="2" t="s">
        <v>344</v>
      </c>
    </row>
    <row r="69" spans="1:22" hidden="1" x14ac:dyDescent="0.45">
      <c r="A69" t="s">
        <v>21</v>
      </c>
      <c r="B69" t="s">
        <v>345</v>
      </c>
      <c r="C69" t="s">
        <v>346</v>
      </c>
      <c r="D69" t="s">
        <v>347</v>
      </c>
      <c r="F69" t="s">
        <v>85</v>
      </c>
      <c r="G69" t="s">
        <v>26</v>
      </c>
      <c r="H69" t="s">
        <v>27</v>
      </c>
      <c r="I69" t="s">
        <v>28</v>
      </c>
      <c r="J69" t="s">
        <v>32</v>
      </c>
      <c r="K69" t="s">
        <v>337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348</v>
      </c>
      <c r="R69" s="3" t="s">
        <v>32</v>
      </c>
      <c r="S69" t="s">
        <v>32</v>
      </c>
      <c r="T69" s="1">
        <v>45015.532881944448</v>
      </c>
      <c r="U69" s="1">
        <v>45423.707199074073</v>
      </c>
      <c r="V69" s="2" t="s">
        <v>349</v>
      </c>
    </row>
    <row r="70" spans="1:22" hidden="1" x14ac:dyDescent="0.45">
      <c r="A70" t="s">
        <v>21</v>
      </c>
      <c r="B70" t="s">
        <v>350</v>
      </c>
      <c r="C70" t="s">
        <v>351</v>
      </c>
      <c r="D70" t="s">
        <v>352</v>
      </c>
      <c r="F70" t="s">
        <v>85</v>
      </c>
      <c r="G70" t="s">
        <v>26</v>
      </c>
      <c r="H70" t="s">
        <v>27</v>
      </c>
      <c r="I70" t="s">
        <v>28</v>
      </c>
      <c r="J70" t="s">
        <v>32</v>
      </c>
      <c r="K70" t="s">
        <v>63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353</v>
      </c>
      <c r="R70" s="3" t="s">
        <v>32</v>
      </c>
      <c r="S70" t="s">
        <v>32</v>
      </c>
      <c r="T70" s="1">
        <v>45015.532881944448</v>
      </c>
      <c r="U70" s="1">
        <v>45058.408865740741</v>
      </c>
      <c r="V70" s="2" t="s">
        <v>354</v>
      </c>
    </row>
    <row r="71" spans="1:22" hidden="1" x14ac:dyDescent="0.45">
      <c r="A71" t="s">
        <v>21</v>
      </c>
      <c r="B71" t="s">
        <v>355</v>
      </c>
      <c r="C71" t="s">
        <v>356</v>
      </c>
      <c r="D71" t="s">
        <v>355</v>
      </c>
      <c r="F71" t="s">
        <v>326</v>
      </c>
      <c r="G71" t="s">
        <v>26</v>
      </c>
      <c r="H71" t="s">
        <v>27</v>
      </c>
      <c r="I71" t="s">
        <v>28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357</v>
      </c>
      <c r="R71" s="3" t="s">
        <v>32</v>
      </c>
      <c r="S71" t="s">
        <v>32</v>
      </c>
      <c r="T71" s="1">
        <v>45015.532881944448</v>
      </c>
      <c r="U71" s="1">
        <v>45423.707812499997</v>
      </c>
      <c r="V71" s="2" t="s">
        <v>358</v>
      </c>
    </row>
    <row r="72" spans="1:22" hidden="1" x14ac:dyDescent="0.45">
      <c r="A72" t="s">
        <v>21</v>
      </c>
      <c r="B72" t="s">
        <v>359</v>
      </c>
      <c r="C72" t="s">
        <v>360</v>
      </c>
      <c r="D72" t="s">
        <v>359</v>
      </c>
      <c r="F72" t="s">
        <v>76</v>
      </c>
      <c r="G72" t="s">
        <v>26</v>
      </c>
      <c r="H72" t="s">
        <v>27</v>
      </c>
      <c r="I72" t="s">
        <v>28</v>
      </c>
      <c r="J72" t="s">
        <v>361</v>
      </c>
      <c r="K72" t="s">
        <v>337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362</v>
      </c>
      <c r="R72" s="3" t="s">
        <v>32</v>
      </c>
      <c r="S72" t="s">
        <v>32</v>
      </c>
      <c r="T72" s="1">
        <v>45015.532881944448</v>
      </c>
      <c r="U72" s="1">
        <v>45545.632951388892</v>
      </c>
      <c r="V72" s="2" t="s">
        <v>363</v>
      </c>
    </row>
    <row r="73" spans="1:22" hidden="1" x14ac:dyDescent="0.45">
      <c r="A73" t="s">
        <v>21</v>
      </c>
      <c r="B73" t="s">
        <v>364</v>
      </c>
      <c r="C73" t="s">
        <v>365</v>
      </c>
      <c r="D73" t="s">
        <v>364</v>
      </c>
      <c r="F73" t="s">
        <v>76</v>
      </c>
      <c r="G73" t="s">
        <v>26</v>
      </c>
      <c r="H73" t="s">
        <v>27</v>
      </c>
      <c r="I73" t="s">
        <v>28</v>
      </c>
      <c r="J73" t="s">
        <v>361</v>
      </c>
      <c r="K73" t="s">
        <v>337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366</v>
      </c>
      <c r="R73" s="3" t="s">
        <v>32</v>
      </c>
      <c r="S73" t="s">
        <v>32</v>
      </c>
      <c r="T73" s="1">
        <v>45015.532881944448</v>
      </c>
      <c r="U73" s="1">
        <v>45545.633032407408</v>
      </c>
      <c r="V73" s="2" t="s">
        <v>367</v>
      </c>
    </row>
    <row r="74" spans="1:22" hidden="1" x14ac:dyDescent="0.45">
      <c r="A74" t="s">
        <v>21</v>
      </c>
      <c r="B74" t="s">
        <v>368</v>
      </c>
      <c r="C74" t="s">
        <v>369</v>
      </c>
      <c r="D74" t="s">
        <v>368</v>
      </c>
      <c r="F74" t="s">
        <v>85</v>
      </c>
      <c r="G74" t="s">
        <v>26</v>
      </c>
      <c r="H74" t="s">
        <v>27</v>
      </c>
      <c r="I74" t="s">
        <v>28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370</v>
      </c>
      <c r="R74" s="3" t="s">
        <v>32</v>
      </c>
      <c r="S74" t="s">
        <v>32</v>
      </c>
      <c r="T74" s="1">
        <v>45469.710833333331</v>
      </c>
      <c r="U74" s="1">
        <v>45474.729050925926</v>
      </c>
      <c r="V74" s="2" t="s">
        <v>371</v>
      </c>
    </row>
    <row r="75" spans="1:22" hidden="1" x14ac:dyDescent="0.45">
      <c r="A75" t="s">
        <v>21</v>
      </c>
      <c r="B75" t="s">
        <v>372</v>
      </c>
      <c r="C75" t="s">
        <v>373</v>
      </c>
      <c r="D75" t="s">
        <v>372</v>
      </c>
      <c r="F75" t="s">
        <v>56</v>
      </c>
      <c r="G75" t="s">
        <v>188</v>
      </c>
      <c r="H75" t="s">
        <v>189</v>
      </c>
      <c r="I75" t="s">
        <v>287</v>
      </c>
      <c r="J75" t="s">
        <v>374</v>
      </c>
      <c r="K75" t="s">
        <v>30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375</v>
      </c>
      <c r="R75" s="3" t="s">
        <v>32</v>
      </c>
      <c r="S75" t="s">
        <v>32</v>
      </c>
      <c r="T75" s="1">
        <v>45015.532881944448</v>
      </c>
      <c r="U75" s="1">
        <v>45427.426099537035</v>
      </c>
      <c r="V75" s="2" t="s">
        <v>376</v>
      </c>
    </row>
    <row r="76" spans="1:22" hidden="1" x14ac:dyDescent="0.45">
      <c r="A76" t="s">
        <v>21</v>
      </c>
      <c r="B76" t="s">
        <v>377</v>
      </c>
      <c r="C76" t="s">
        <v>378</v>
      </c>
      <c r="D76" t="s">
        <v>377</v>
      </c>
      <c r="F76" t="s">
        <v>25</v>
      </c>
      <c r="G76" t="s">
        <v>26</v>
      </c>
      <c r="H76" t="s">
        <v>27</v>
      </c>
      <c r="I76" t="s">
        <v>28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379</v>
      </c>
      <c r="R76" s="3" t="s">
        <v>32</v>
      </c>
      <c r="S76" t="s">
        <v>32</v>
      </c>
      <c r="T76" s="1">
        <v>45015.532881944448</v>
      </c>
      <c r="U76" s="1">
        <v>45423.709074074075</v>
      </c>
      <c r="V76" s="2" t="s">
        <v>380</v>
      </c>
    </row>
    <row r="77" spans="1:22" hidden="1" x14ac:dyDescent="0.45">
      <c r="A77" t="s">
        <v>21</v>
      </c>
      <c r="B77" t="s">
        <v>377</v>
      </c>
      <c r="C77" t="s">
        <v>381</v>
      </c>
      <c r="D77" t="s">
        <v>382</v>
      </c>
      <c r="F77" t="s">
        <v>25</v>
      </c>
      <c r="G77" t="s">
        <v>26</v>
      </c>
      <c r="H77" t="s">
        <v>27</v>
      </c>
      <c r="I77" t="s">
        <v>28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383</v>
      </c>
      <c r="R77" s="3" t="s">
        <v>32</v>
      </c>
      <c r="S77" t="s">
        <v>32</v>
      </c>
      <c r="T77" s="1">
        <v>45015.532881944448</v>
      </c>
      <c r="U77" s="1">
        <v>45423.709872685184</v>
      </c>
      <c r="V77" s="2" t="s">
        <v>384</v>
      </c>
    </row>
    <row r="78" spans="1:22" hidden="1" x14ac:dyDescent="0.45">
      <c r="A78" t="s">
        <v>21</v>
      </c>
      <c r="B78" t="s">
        <v>385</v>
      </c>
      <c r="C78" t="s">
        <v>386</v>
      </c>
      <c r="D78" t="s">
        <v>385</v>
      </c>
      <c r="F78" t="s">
        <v>56</v>
      </c>
      <c r="G78" t="s">
        <v>26</v>
      </c>
      <c r="H78" t="s">
        <v>62</v>
      </c>
      <c r="I78" t="s">
        <v>28</v>
      </c>
      <c r="J78" t="s">
        <v>32</v>
      </c>
      <c r="K78" t="s">
        <v>63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387</v>
      </c>
      <c r="R78" s="3" t="s">
        <v>32</v>
      </c>
      <c r="S78" t="s">
        <v>32</v>
      </c>
      <c r="T78" s="1">
        <v>45015.532881944448</v>
      </c>
      <c r="U78" s="1">
        <v>45423.710219907407</v>
      </c>
      <c r="V78" s="2" t="s">
        <v>388</v>
      </c>
    </row>
    <row r="79" spans="1:22" hidden="1" x14ac:dyDescent="0.45">
      <c r="A79" t="s">
        <v>21</v>
      </c>
      <c r="B79" t="s">
        <v>22</v>
      </c>
      <c r="C79" t="s">
        <v>389</v>
      </c>
      <c r="D79" t="s">
        <v>390</v>
      </c>
      <c r="F79" t="s">
        <v>71</v>
      </c>
      <c r="G79" t="s">
        <v>26</v>
      </c>
      <c r="H79" t="s">
        <v>27</v>
      </c>
      <c r="I79" t="s">
        <v>28</v>
      </c>
      <c r="J79" t="s">
        <v>29</v>
      </c>
      <c r="K79" t="s">
        <v>30</v>
      </c>
      <c r="L79" t="s">
        <v>31</v>
      </c>
      <c r="M79" t="s">
        <v>32</v>
      </c>
      <c r="N79" t="s">
        <v>32</v>
      </c>
      <c r="O79" t="s">
        <v>32</v>
      </c>
      <c r="P79" t="s">
        <v>33</v>
      </c>
      <c r="Q79" t="s">
        <v>391</v>
      </c>
      <c r="R79" s="3" t="s">
        <v>32</v>
      </c>
      <c r="S79" t="s">
        <v>32</v>
      </c>
      <c r="T79" s="1">
        <v>45474.638148148151</v>
      </c>
      <c r="U79" s="1">
        <v>45483.535532407404</v>
      </c>
      <c r="V79" s="2" t="s">
        <v>392</v>
      </c>
    </row>
    <row r="80" spans="1:22" hidden="1" x14ac:dyDescent="0.45">
      <c r="A80" t="s">
        <v>393</v>
      </c>
      <c r="B80" t="s">
        <v>22</v>
      </c>
      <c r="C80" t="s">
        <v>394</v>
      </c>
      <c r="D80" t="s">
        <v>24</v>
      </c>
      <c r="F80" t="s">
        <v>25</v>
      </c>
      <c r="G80" t="s">
        <v>26</v>
      </c>
      <c r="H80" t="s">
        <v>27</v>
      </c>
      <c r="I80" t="s">
        <v>28</v>
      </c>
      <c r="J80" t="s">
        <v>29</v>
      </c>
      <c r="K80" t="s">
        <v>30</v>
      </c>
      <c r="L80" t="s">
        <v>31</v>
      </c>
      <c r="M80" t="s">
        <v>32</v>
      </c>
      <c r="N80" t="s">
        <v>32</v>
      </c>
      <c r="O80" t="s">
        <v>32</v>
      </c>
      <c r="P80" t="s">
        <v>33</v>
      </c>
      <c r="Q80" t="s">
        <v>395</v>
      </c>
      <c r="R80" s="3">
        <v>21</v>
      </c>
      <c r="S80" t="s">
        <v>32</v>
      </c>
      <c r="T80" s="1">
        <v>45398.45212962963</v>
      </c>
      <c r="U80" s="1">
        <v>45428.534085648149</v>
      </c>
      <c r="V80" s="2" t="s">
        <v>396</v>
      </c>
    </row>
    <row r="81" spans="1:22" hidden="1" x14ac:dyDescent="0.45">
      <c r="A81" t="s">
        <v>393</v>
      </c>
      <c r="B81" t="s">
        <v>22</v>
      </c>
      <c r="C81" t="s">
        <v>397</v>
      </c>
      <c r="D81" t="s">
        <v>38</v>
      </c>
      <c r="F81" t="s">
        <v>25</v>
      </c>
      <c r="G81" t="s">
        <v>26</v>
      </c>
      <c r="H81" t="s">
        <v>27</v>
      </c>
      <c r="I81" t="s">
        <v>28</v>
      </c>
      <c r="J81" t="s">
        <v>29</v>
      </c>
      <c r="K81" t="s">
        <v>30</v>
      </c>
      <c r="L81" t="s">
        <v>31</v>
      </c>
      <c r="M81" t="s">
        <v>32</v>
      </c>
      <c r="N81" t="s">
        <v>32</v>
      </c>
      <c r="O81" t="s">
        <v>32</v>
      </c>
      <c r="P81" t="s">
        <v>33</v>
      </c>
      <c r="Q81" t="s">
        <v>398</v>
      </c>
      <c r="R81" s="3">
        <v>15</v>
      </c>
      <c r="S81" t="s">
        <v>32</v>
      </c>
      <c r="T81" s="1">
        <v>45398.45212962963</v>
      </c>
      <c r="U81" s="1">
        <v>45428.53638888889</v>
      </c>
      <c r="V81" s="2" t="s">
        <v>399</v>
      </c>
    </row>
    <row r="82" spans="1:22" hidden="1" x14ac:dyDescent="0.45">
      <c r="A82" t="s">
        <v>393</v>
      </c>
      <c r="B82" t="s">
        <v>22</v>
      </c>
      <c r="C82" t="s">
        <v>400</v>
      </c>
      <c r="D82" t="s">
        <v>43</v>
      </c>
      <c r="F82" t="s">
        <v>25</v>
      </c>
      <c r="G82" t="s">
        <v>26</v>
      </c>
      <c r="H82" t="s">
        <v>27</v>
      </c>
      <c r="I82" t="s">
        <v>28</v>
      </c>
      <c r="J82" t="s">
        <v>29</v>
      </c>
      <c r="K82" t="s">
        <v>30</v>
      </c>
      <c r="L82" t="s">
        <v>31</v>
      </c>
      <c r="M82" t="s">
        <v>32</v>
      </c>
      <c r="N82" t="s">
        <v>32</v>
      </c>
      <c r="O82" t="s">
        <v>32</v>
      </c>
      <c r="P82" t="s">
        <v>33</v>
      </c>
      <c r="Q82" t="s">
        <v>401</v>
      </c>
      <c r="R82" s="3">
        <v>3</v>
      </c>
      <c r="S82" t="s">
        <v>32</v>
      </c>
      <c r="T82" s="1">
        <v>45398.45212962963</v>
      </c>
      <c r="U82" s="1">
        <v>45428.537407407406</v>
      </c>
      <c r="V82" s="2" t="s">
        <v>402</v>
      </c>
    </row>
    <row r="83" spans="1:22" hidden="1" x14ac:dyDescent="0.45">
      <c r="A83" t="s">
        <v>393</v>
      </c>
      <c r="B83" t="s">
        <v>22</v>
      </c>
      <c r="C83" t="s">
        <v>403</v>
      </c>
      <c r="D83" t="s">
        <v>51</v>
      </c>
      <c r="F83" t="s">
        <v>25</v>
      </c>
      <c r="G83" t="s">
        <v>26</v>
      </c>
      <c r="H83" t="s">
        <v>27</v>
      </c>
      <c r="I83" t="s">
        <v>28</v>
      </c>
      <c r="J83" t="s">
        <v>29</v>
      </c>
      <c r="K83" t="s">
        <v>30</v>
      </c>
      <c r="L83" t="s">
        <v>31</v>
      </c>
      <c r="M83" t="s">
        <v>32</v>
      </c>
      <c r="N83" t="s">
        <v>32</v>
      </c>
      <c r="O83" t="s">
        <v>32</v>
      </c>
      <c r="P83" t="s">
        <v>33</v>
      </c>
      <c r="Q83" t="s">
        <v>404</v>
      </c>
      <c r="R83" s="3">
        <v>10</v>
      </c>
      <c r="S83" t="s">
        <v>32</v>
      </c>
      <c r="T83" s="1">
        <v>45398.45212962963</v>
      </c>
      <c r="U83" s="1">
        <v>45428.708090277774</v>
      </c>
      <c r="V83" s="2" t="s">
        <v>405</v>
      </c>
    </row>
    <row r="84" spans="1:22" hidden="1" x14ac:dyDescent="0.45">
      <c r="A84" t="s">
        <v>393</v>
      </c>
      <c r="B84" t="s">
        <v>22</v>
      </c>
      <c r="C84" t="s">
        <v>406</v>
      </c>
      <c r="D84" t="s">
        <v>407</v>
      </c>
      <c r="F84" t="s">
        <v>56</v>
      </c>
      <c r="G84" t="s">
        <v>26</v>
      </c>
      <c r="H84" t="s">
        <v>27</v>
      </c>
      <c r="I84" t="s">
        <v>28</v>
      </c>
      <c r="J84" t="s">
        <v>29</v>
      </c>
      <c r="K84" t="s">
        <v>30</v>
      </c>
      <c r="L84" t="s">
        <v>31</v>
      </c>
      <c r="M84" t="s">
        <v>32</v>
      </c>
      <c r="N84" t="s">
        <v>32</v>
      </c>
      <c r="O84" t="s">
        <v>32</v>
      </c>
      <c r="P84" t="s">
        <v>33</v>
      </c>
      <c r="Q84" t="s">
        <v>408</v>
      </c>
      <c r="R84" s="3">
        <v>10</v>
      </c>
      <c r="S84" t="s">
        <v>32</v>
      </c>
      <c r="T84" s="1">
        <v>45398.45212962963</v>
      </c>
      <c r="U84" s="1">
        <v>45428.71837962963</v>
      </c>
      <c r="V84" s="2" t="s">
        <v>409</v>
      </c>
    </row>
    <row r="85" spans="1:22" hidden="1" x14ac:dyDescent="0.45">
      <c r="A85" t="s">
        <v>393</v>
      </c>
      <c r="B85" t="s">
        <v>22</v>
      </c>
      <c r="C85" t="s">
        <v>410</v>
      </c>
      <c r="D85" t="s">
        <v>411</v>
      </c>
      <c r="F85" t="s">
        <v>71</v>
      </c>
      <c r="G85" t="s">
        <v>26</v>
      </c>
      <c r="H85" t="s">
        <v>27</v>
      </c>
      <c r="I85" t="s">
        <v>28</v>
      </c>
      <c r="J85" t="s">
        <v>29</v>
      </c>
      <c r="K85" t="s">
        <v>30</v>
      </c>
      <c r="L85" t="s">
        <v>31</v>
      </c>
      <c r="M85" t="s">
        <v>32</v>
      </c>
      <c r="N85" t="s">
        <v>32</v>
      </c>
      <c r="O85" t="s">
        <v>32</v>
      </c>
      <c r="P85" t="s">
        <v>33</v>
      </c>
      <c r="Q85" t="s">
        <v>412</v>
      </c>
      <c r="R85" s="3">
        <v>10</v>
      </c>
      <c r="S85" t="s">
        <v>32</v>
      </c>
      <c r="T85" s="1">
        <v>45398.45212962963</v>
      </c>
      <c r="U85" s="1">
        <v>45428.719201388885</v>
      </c>
      <c r="V85" s="2" t="s">
        <v>413</v>
      </c>
    </row>
    <row r="86" spans="1:22" hidden="1" x14ac:dyDescent="0.45">
      <c r="A86" t="s">
        <v>393</v>
      </c>
      <c r="B86" t="s">
        <v>59</v>
      </c>
      <c r="C86" t="s">
        <v>414</v>
      </c>
      <c r="D86" t="s">
        <v>61</v>
      </c>
      <c r="F86" t="s">
        <v>25</v>
      </c>
      <c r="G86" t="s">
        <v>26</v>
      </c>
      <c r="H86" t="s">
        <v>62</v>
      </c>
      <c r="I86" t="s">
        <v>28</v>
      </c>
      <c r="J86" t="s">
        <v>32</v>
      </c>
      <c r="K86" t="s">
        <v>63</v>
      </c>
      <c r="L86" t="s">
        <v>64</v>
      </c>
      <c r="M86" t="s">
        <v>32</v>
      </c>
      <c r="N86" t="s">
        <v>65</v>
      </c>
      <c r="O86" t="s">
        <v>66</v>
      </c>
      <c r="P86" t="s">
        <v>32</v>
      </c>
      <c r="Q86" t="s">
        <v>415</v>
      </c>
      <c r="R86" s="3" t="s">
        <v>32</v>
      </c>
      <c r="S86" t="s">
        <v>32</v>
      </c>
      <c r="T86" s="1">
        <v>45398.45212962963</v>
      </c>
      <c r="U86" s="1">
        <v>45436.609444444446</v>
      </c>
      <c r="V86" s="2" t="s">
        <v>416</v>
      </c>
    </row>
    <row r="87" spans="1:22" hidden="1" x14ac:dyDescent="0.45">
      <c r="A87" t="s">
        <v>393</v>
      </c>
      <c r="B87" t="s">
        <v>22</v>
      </c>
      <c r="C87" t="s">
        <v>417</v>
      </c>
      <c r="D87" t="s">
        <v>75</v>
      </c>
      <c r="F87" t="s">
        <v>76</v>
      </c>
      <c r="G87" t="s">
        <v>26</v>
      </c>
      <c r="H87" t="s">
        <v>27</v>
      </c>
      <c r="I87" t="s">
        <v>28</v>
      </c>
      <c r="J87" t="s">
        <v>29</v>
      </c>
      <c r="K87" t="s">
        <v>30</v>
      </c>
      <c r="L87" t="s">
        <v>31</v>
      </c>
      <c r="M87" t="s">
        <v>32</v>
      </c>
      <c r="N87" t="s">
        <v>32</v>
      </c>
      <c r="O87" t="s">
        <v>32</v>
      </c>
      <c r="P87" t="s">
        <v>33</v>
      </c>
      <c r="Q87" t="s">
        <v>418</v>
      </c>
      <c r="R87" s="3">
        <v>15</v>
      </c>
      <c r="S87" t="s">
        <v>32</v>
      </c>
      <c r="T87" s="1">
        <v>45398.45212962963</v>
      </c>
      <c r="U87" s="1">
        <v>45428.719907407409</v>
      </c>
      <c r="V87" s="2" t="s">
        <v>419</v>
      </c>
    </row>
    <row r="88" spans="1:22" hidden="1" x14ac:dyDescent="0.45">
      <c r="A88" t="s">
        <v>393</v>
      </c>
      <c r="B88" t="s">
        <v>22</v>
      </c>
      <c r="C88" t="s">
        <v>420</v>
      </c>
      <c r="D88" t="s">
        <v>80</v>
      </c>
      <c r="F88" t="s">
        <v>71</v>
      </c>
      <c r="G88" t="s">
        <v>26</v>
      </c>
      <c r="H88" t="s">
        <v>27</v>
      </c>
      <c r="I88" t="s">
        <v>28</v>
      </c>
      <c r="J88" t="s">
        <v>29</v>
      </c>
      <c r="K88" t="s">
        <v>30</v>
      </c>
      <c r="L88" t="s">
        <v>31</v>
      </c>
      <c r="M88" t="s">
        <v>32</v>
      </c>
      <c r="N88" t="s">
        <v>32</v>
      </c>
      <c r="O88" t="s">
        <v>32</v>
      </c>
      <c r="P88" t="s">
        <v>33</v>
      </c>
      <c r="Q88" t="s">
        <v>421</v>
      </c>
      <c r="R88" s="3">
        <v>10</v>
      </c>
      <c r="S88" t="s">
        <v>32</v>
      </c>
      <c r="T88" s="1">
        <v>45398.45212962963</v>
      </c>
      <c r="U88" s="1">
        <v>45428.71837962963</v>
      </c>
      <c r="V88" s="2" t="s">
        <v>422</v>
      </c>
    </row>
    <row r="89" spans="1:22" hidden="1" x14ac:dyDescent="0.45">
      <c r="A89" t="s">
        <v>393</v>
      </c>
      <c r="B89" t="s">
        <v>22</v>
      </c>
      <c r="C89" t="s">
        <v>423</v>
      </c>
      <c r="D89" t="s">
        <v>377</v>
      </c>
      <c r="F89" t="s">
        <v>25</v>
      </c>
      <c r="G89" t="s">
        <v>26</v>
      </c>
      <c r="H89" t="s">
        <v>27</v>
      </c>
      <c r="I89" t="s">
        <v>28</v>
      </c>
      <c r="J89" t="s">
        <v>29</v>
      </c>
      <c r="K89" t="s">
        <v>30</v>
      </c>
      <c r="L89" t="s">
        <v>31</v>
      </c>
      <c r="M89" t="s">
        <v>32</v>
      </c>
      <c r="N89" t="s">
        <v>32</v>
      </c>
      <c r="O89" t="s">
        <v>32</v>
      </c>
      <c r="P89" t="s">
        <v>33</v>
      </c>
      <c r="Q89" t="s">
        <v>424</v>
      </c>
      <c r="R89" s="3" t="s">
        <v>32</v>
      </c>
      <c r="S89" t="s">
        <v>32</v>
      </c>
      <c r="T89" s="1">
        <v>45398.45212962963</v>
      </c>
      <c r="U89" s="1">
        <v>45426.44599537037</v>
      </c>
      <c r="V89" s="2" t="s">
        <v>425</v>
      </c>
    </row>
    <row r="90" spans="1:22" hidden="1" x14ac:dyDescent="0.45">
      <c r="A90" t="s">
        <v>393</v>
      </c>
      <c r="B90" t="s">
        <v>22</v>
      </c>
      <c r="C90" t="s">
        <v>426</v>
      </c>
      <c r="D90" t="s">
        <v>84</v>
      </c>
      <c r="F90" t="s">
        <v>85</v>
      </c>
      <c r="G90" t="s">
        <v>26</v>
      </c>
      <c r="H90" t="s">
        <v>27</v>
      </c>
      <c r="I90" t="s">
        <v>28</v>
      </c>
      <c r="J90" t="s">
        <v>29</v>
      </c>
      <c r="K90" t="s">
        <v>30</v>
      </c>
      <c r="L90" t="s">
        <v>31</v>
      </c>
      <c r="M90" t="s">
        <v>32</v>
      </c>
      <c r="N90" t="s">
        <v>32</v>
      </c>
      <c r="O90" t="s">
        <v>32</v>
      </c>
      <c r="P90" t="s">
        <v>33</v>
      </c>
      <c r="Q90" t="s">
        <v>427</v>
      </c>
      <c r="R90" s="3">
        <v>3</v>
      </c>
      <c r="S90" t="s">
        <v>32</v>
      </c>
      <c r="T90" s="1">
        <v>45398.45212962963</v>
      </c>
      <c r="U90" s="1">
        <v>45428.720671296294</v>
      </c>
      <c r="V90" s="2" t="s">
        <v>428</v>
      </c>
    </row>
    <row r="91" spans="1:22" hidden="1" x14ac:dyDescent="0.45">
      <c r="A91" t="s">
        <v>393</v>
      </c>
      <c r="B91" t="s">
        <v>22</v>
      </c>
      <c r="C91" t="s">
        <v>429</v>
      </c>
      <c r="D91" t="s">
        <v>382</v>
      </c>
      <c r="F91" t="s">
        <v>25</v>
      </c>
      <c r="G91" t="s">
        <v>26</v>
      </c>
      <c r="H91" t="s">
        <v>27</v>
      </c>
      <c r="I91" t="s">
        <v>28</v>
      </c>
      <c r="J91" t="s">
        <v>29</v>
      </c>
      <c r="K91" t="s">
        <v>30</v>
      </c>
      <c r="L91" t="s">
        <v>31</v>
      </c>
      <c r="M91" t="s">
        <v>32</v>
      </c>
      <c r="N91" t="s">
        <v>32</v>
      </c>
      <c r="O91" t="s">
        <v>32</v>
      </c>
      <c r="P91" t="s">
        <v>33</v>
      </c>
      <c r="Q91" t="s">
        <v>430</v>
      </c>
      <c r="R91" s="3" t="s">
        <v>32</v>
      </c>
      <c r="S91" t="s">
        <v>32</v>
      </c>
      <c r="T91" s="1">
        <v>45398.45212962963</v>
      </c>
      <c r="U91" s="1">
        <v>45426.447615740741</v>
      </c>
      <c r="V91" s="2" t="s">
        <v>431</v>
      </c>
    </row>
    <row r="92" spans="1:22" hidden="1" x14ac:dyDescent="0.45">
      <c r="A92" t="s">
        <v>393</v>
      </c>
      <c r="B92" t="s">
        <v>22</v>
      </c>
      <c r="C92" t="s">
        <v>432</v>
      </c>
      <c r="D92" t="s">
        <v>89</v>
      </c>
      <c r="F92" t="s">
        <v>85</v>
      </c>
      <c r="G92" t="s">
        <v>26</v>
      </c>
      <c r="H92" t="s">
        <v>27</v>
      </c>
      <c r="I92" t="s">
        <v>28</v>
      </c>
      <c r="J92" t="s">
        <v>29</v>
      </c>
      <c r="K92" t="s">
        <v>30</v>
      </c>
      <c r="L92" t="s">
        <v>31</v>
      </c>
      <c r="M92" t="s">
        <v>32</v>
      </c>
      <c r="N92" t="s">
        <v>32</v>
      </c>
      <c r="O92" t="s">
        <v>32</v>
      </c>
      <c r="P92" t="s">
        <v>33</v>
      </c>
      <c r="Q92" t="s">
        <v>433</v>
      </c>
      <c r="R92" s="3">
        <v>3</v>
      </c>
      <c r="S92" t="s">
        <v>32</v>
      </c>
      <c r="T92" s="1">
        <v>45398.45212962963</v>
      </c>
      <c r="U92" s="1">
        <v>45428.720671296294</v>
      </c>
      <c r="V92" s="2" t="s">
        <v>434</v>
      </c>
    </row>
    <row r="93" spans="1:22" hidden="1" x14ac:dyDescent="0.45">
      <c r="A93" t="s">
        <v>393</v>
      </c>
      <c r="B93" t="s">
        <v>22</v>
      </c>
      <c r="C93" t="s">
        <v>435</v>
      </c>
      <c r="D93" t="s">
        <v>93</v>
      </c>
      <c r="F93" t="s">
        <v>71</v>
      </c>
      <c r="G93" t="s">
        <v>26</v>
      </c>
      <c r="H93" t="s">
        <v>27</v>
      </c>
      <c r="I93" t="s">
        <v>28</v>
      </c>
      <c r="J93" t="s">
        <v>29</v>
      </c>
      <c r="K93" t="s">
        <v>30</v>
      </c>
      <c r="L93" t="s">
        <v>31</v>
      </c>
      <c r="M93" t="s">
        <v>32</v>
      </c>
      <c r="N93" t="s">
        <v>32</v>
      </c>
      <c r="O93" t="s">
        <v>32</v>
      </c>
      <c r="P93" t="s">
        <v>33</v>
      </c>
      <c r="Q93" t="s">
        <v>436</v>
      </c>
      <c r="R93" s="3">
        <v>10</v>
      </c>
      <c r="S93" t="s">
        <v>32</v>
      </c>
      <c r="T93" s="1">
        <v>45398.45212962963</v>
      </c>
      <c r="U93" s="1">
        <v>45428.719201388885</v>
      </c>
      <c r="V93" s="2" t="s">
        <v>437</v>
      </c>
    </row>
    <row r="94" spans="1:22" hidden="1" x14ac:dyDescent="0.45">
      <c r="A94" t="s">
        <v>393</v>
      </c>
      <c r="B94" t="s">
        <v>22</v>
      </c>
      <c r="C94" t="s">
        <v>438</v>
      </c>
      <c r="D94" t="s">
        <v>439</v>
      </c>
      <c r="F94" t="s">
        <v>102</v>
      </c>
      <c r="G94" t="s">
        <v>26</v>
      </c>
      <c r="H94" t="s">
        <v>27</v>
      </c>
      <c r="I94" t="s">
        <v>28</v>
      </c>
      <c r="J94" t="s">
        <v>29</v>
      </c>
      <c r="K94" t="s">
        <v>30</v>
      </c>
      <c r="L94" t="s">
        <v>31</v>
      </c>
      <c r="M94" t="s">
        <v>32</v>
      </c>
      <c r="N94" t="s">
        <v>32</v>
      </c>
      <c r="O94" t="s">
        <v>32</v>
      </c>
      <c r="P94" t="s">
        <v>33</v>
      </c>
      <c r="Q94" t="s">
        <v>440</v>
      </c>
      <c r="R94" s="3">
        <v>10</v>
      </c>
      <c r="S94" t="s">
        <v>32</v>
      </c>
      <c r="T94" s="1">
        <v>45398.45212962963</v>
      </c>
      <c r="U94" s="1">
        <v>45428.72111111111</v>
      </c>
      <c r="V94" s="2" t="s">
        <v>441</v>
      </c>
    </row>
    <row r="95" spans="1:22" hidden="1" x14ac:dyDescent="0.45">
      <c r="A95" t="s">
        <v>393</v>
      </c>
      <c r="B95" t="s">
        <v>22</v>
      </c>
      <c r="C95" t="s">
        <v>442</v>
      </c>
      <c r="D95" t="s">
        <v>443</v>
      </c>
      <c r="F95" t="s">
        <v>71</v>
      </c>
      <c r="G95" t="s">
        <v>26</v>
      </c>
      <c r="H95" t="s">
        <v>27</v>
      </c>
      <c r="I95" t="s">
        <v>28</v>
      </c>
      <c r="J95" t="s">
        <v>29</v>
      </c>
      <c r="K95" t="s">
        <v>30</v>
      </c>
      <c r="L95" t="s">
        <v>31</v>
      </c>
      <c r="M95" t="s">
        <v>32</v>
      </c>
      <c r="N95" t="s">
        <v>32</v>
      </c>
      <c r="O95" t="s">
        <v>32</v>
      </c>
      <c r="P95" t="s">
        <v>33</v>
      </c>
      <c r="Q95" t="s">
        <v>444</v>
      </c>
      <c r="R95" s="3">
        <v>5</v>
      </c>
      <c r="S95" t="s">
        <v>32</v>
      </c>
      <c r="T95" s="1">
        <v>45398.45212962963</v>
      </c>
      <c r="U95" s="1">
        <v>45428.721805555557</v>
      </c>
      <c r="V95" s="2" t="s">
        <v>445</v>
      </c>
    </row>
    <row r="96" spans="1:22" hidden="1" x14ac:dyDescent="0.45">
      <c r="A96" t="s">
        <v>393</v>
      </c>
      <c r="B96" t="s">
        <v>22</v>
      </c>
      <c r="C96" t="s">
        <v>446</v>
      </c>
      <c r="D96" t="s">
        <v>447</v>
      </c>
      <c r="F96" t="s">
        <v>56</v>
      </c>
      <c r="G96" t="s">
        <v>26</v>
      </c>
      <c r="H96" t="s">
        <v>27</v>
      </c>
      <c r="I96" t="s">
        <v>28</v>
      </c>
      <c r="J96" t="s">
        <v>29</v>
      </c>
      <c r="K96" t="s">
        <v>30</v>
      </c>
      <c r="L96" t="s">
        <v>31</v>
      </c>
      <c r="M96" t="s">
        <v>32</v>
      </c>
      <c r="N96" t="s">
        <v>32</v>
      </c>
      <c r="O96" t="s">
        <v>32</v>
      </c>
      <c r="P96" t="s">
        <v>33</v>
      </c>
      <c r="Q96" t="s">
        <v>448</v>
      </c>
      <c r="R96" s="3">
        <v>5</v>
      </c>
      <c r="S96" t="s">
        <v>32</v>
      </c>
      <c r="T96" s="1">
        <v>45398.45212962963</v>
      </c>
      <c r="U96" s="1">
        <v>45428.72247685185</v>
      </c>
      <c r="V96" s="2" t="s">
        <v>449</v>
      </c>
    </row>
    <row r="97" spans="1:22" hidden="1" x14ac:dyDescent="0.45">
      <c r="A97" t="s">
        <v>393</v>
      </c>
      <c r="B97" t="s">
        <v>22</v>
      </c>
      <c r="C97" t="s">
        <v>450</v>
      </c>
      <c r="D97" t="s">
        <v>451</v>
      </c>
      <c r="F97" t="s">
        <v>25</v>
      </c>
      <c r="G97" t="s">
        <v>26</v>
      </c>
      <c r="H97" t="s">
        <v>27</v>
      </c>
      <c r="I97" t="s">
        <v>28</v>
      </c>
      <c r="J97" t="s">
        <v>29</v>
      </c>
      <c r="K97" t="s">
        <v>30</v>
      </c>
      <c r="L97" t="s">
        <v>31</v>
      </c>
      <c r="M97" t="s">
        <v>32</v>
      </c>
      <c r="N97" t="s">
        <v>32</v>
      </c>
      <c r="O97" t="s">
        <v>32</v>
      </c>
      <c r="P97" t="s">
        <v>33</v>
      </c>
      <c r="Q97" t="s">
        <v>452</v>
      </c>
      <c r="R97" s="3">
        <v>3</v>
      </c>
      <c r="S97" t="s">
        <v>32</v>
      </c>
      <c r="T97" s="1">
        <v>45398.45212962963</v>
      </c>
      <c r="U97" s="1">
        <v>45428.723020833335</v>
      </c>
      <c r="V97" s="2" t="s">
        <v>453</v>
      </c>
    </row>
    <row r="98" spans="1:22" hidden="1" x14ac:dyDescent="0.45">
      <c r="A98" t="s">
        <v>393</v>
      </c>
      <c r="B98" t="s">
        <v>22</v>
      </c>
      <c r="C98" t="s">
        <v>454</v>
      </c>
      <c r="D98" t="s">
        <v>150</v>
      </c>
      <c r="F98" t="s">
        <v>25</v>
      </c>
      <c r="G98" t="s">
        <v>26</v>
      </c>
      <c r="H98" t="s">
        <v>27</v>
      </c>
      <c r="I98" t="s">
        <v>28</v>
      </c>
      <c r="J98" t="s">
        <v>29</v>
      </c>
      <c r="K98" t="s">
        <v>30</v>
      </c>
      <c r="L98" t="s">
        <v>31</v>
      </c>
      <c r="M98" t="s">
        <v>32</v>
      </c>
      <c r="N98" t="s">
        <v>32</v>
      </c>
      <c r="O98" t="s">
        <v>32</v>
      </c>
      <c r="P98" t="s">
        <v>33</v>
      </c>
      <c r="Q98" t="s">
        <v>455</v>
      </c>
      <c r="R98" s="3">
        <v>10</v>
      </c>
      <c r="S98" t="s">
        <v>32</v>
      </c>
      <c r="T98" s="1">
        <v>45398.45212962963</v>
      </c>
      <c r="U98" s="1">
        <v>45428.708090277774</v>
      </c>
      <c r="V98" s="2" t="s">
        <v>456</v>
      </c>
    </row>
    <row r="99" spans="1:22" hidden="1" x14ac:dyDescent="0.45">
      <c r="A99" t="s">
        <v>393</v>
      </c>
      <c r="B99" t="s">
        <v>22</v>
      </c>
      <c r="C99" t="s">
        <v>457</v>
      </c>
      <c r="D99" t="s">
        <v>458</v>
      </c>
      <c r="F99" t="s">
        <v>25</v>
      </c>
      <c r="G99" t="s">
        <v>26</v>
      </c>
      <c r="H99" t="s">
        <v>27</v>
      </c>
      <c r="I99" t="s">
        <v>28</v>
      </c>
      <c r="J99" t="s">
        <v>29</v>
      </c>
      <c r="K99" t="s">
        <v>30</v>
      </c>
      <c r="L99" t="s">
        <v>31</v>
      </c>
      <c r="M99" t="s">
        <v>32</v>
      </c>
      <c r="N99" t="s">
        <v>32</v>
      </c>
      <c r="O99" t="s">
        <v>32</v>
      </c>
      <c r="P99" t="s">
        <v>33</v>
      </c>
      <c r="Q99" t="s">
        <v>459</v>
      </c>
      <c r="R99" s="3">
        <v>3</v>
      </c>
      <c r="S99" t="s">
        <v>32</v>
      </c>
      <c r="T99" s="1">
        <v>45398.45212962963</v>
      </c>
      <c r="U99" s="1">
        <v>45441.488159722219</v>
      </c>
      <c r="V99" s="2" t="s">
        <v>460</v>
      </c>
    </row>
    <row r="100" spans="1:22" hidden="1" x14ac:dyDescent="0.45">
      <c r="A100" t="s">
        <v>393</v>
      </c>
      <c r="B100" t="s">
        <v>22</v>
      </c>
      <c r="C100" t="s">
        <v>461</v>
      </c>
      <c r="D100" t="s">
        <v>462</v>
      </c>
      <c r="F100" t="s">
        <v>25</v>
      </c>
      <c r="G100" t="s">
        <v>26</v>
      </c>
      <c r="H100" t="s">
        <v>27</v>
      </c>
      <c r="I100" t="s">
        <v>28</v>
      </c>
      <c r="J100" t="s">
        <v>29</v>
      </c>
      <c r="K100" t="s">
        <v>30</v>
      </c>
      <c r="L100" t="s">
        <v>31</v>
      </c>
      <c r="M100" t="s">
        <v>32</v>
      </c>
      <c r="N100" t="s">
        <v>32</v>
      </c>
      <c r="O100" t="s">
        <v>32</v>
      </c>
      <c r="P100" t="s">
        <v>33</v>
      </c>
      <c r="Q100" t="s">
        <v>463</v>
      </c>
      <c r="R100" s="3">
        <v>3</v>
      </c>
      <c r="S100" t="s">
        <v>32</v>
      </c>
      <c r="T100" s="1">
        <v>45398.45212962963</v>
      </c>
      <c r="U100" s="1">
        <v>45428.722060185188</v>
      </c>
      <c r="V100" s="2" t="s">
        <v>464</v>
      </c>
    </row>
    <row r="101" spans="1:22" hidden="1" x14ac:dyDescent="0.45">
      <c r="A101" t="s">
        <v>393</v>
      </c>
      <c r="B101" t="s">
        <v>22</v>
      </c>
      <c r="C101" t="s">
        <v>465</v>
      </c>
      <c r="D101" t="s">
        <v>162</v>
      </c>
      <c r="F101" t="s">
        <v>25</v>
      </c>
      <c r="G101" t="s">
        <v>26</v>
      </c>
      <c r="H101" t="s">
        <v>27</v>
      </c>
      <c r="I101" t="s">
        <v>28</v>
      </c>
      <c r="J101" t="s">
        <v>29</v>
      </c>
      <c r="K101" t="s">
        <v>30</v>
      </c>
      <c r="L101" t="s">
        <v>31</v>
      </c>
      <c r="M101" t="s">
        <v>32</v>
      </c>
      <c r="N101" t="s">
        <v>32</v>
      </c>
      <c r="O101" t="s">
        <v>32</v>
      </c>
      <c r="P101" t="s">
        <v>33</v>
      </c>
      <c r="Q101" t="s">
        <v>466</v>
      </c>
      <c r="R101" s="3">
        <v>5</v>
      </c>
      <c r="S101" t="s">
        <v>32</v>
      </c>
      <c r="T101" s="1">
        <v>45398.45212962963</v>
      </c>
      <c r="U101" s="1">
        <v>45428.723946759259</v>
      </c>
      <c r="V101" s="2" t="s">
        <v>467</v>
      </c>
    </row>
    <row r="102" spans="1:22" hidden="1" x14ac:dyDescent="0.45">
      <c r="A102" t="s">
        <v>393</v>
      </c>
      <c r="B102" t="s">
        <v>22</v>
      </c>
      <c r="C102" t="s">
        <v>468</v>
      </c>
      <c r="D102" t="s">
        <v>469</v>
      </c>
      <c r="F102" t="s">
        <v>71</v>
      </c>
      <c r="G102" t="s">
        <v>26</v>
      </c>
      <c r="H102" t="s">
        <v>27</v>
      </c>
      <c r="I102" t="s">
        <v>28</v>
      </c>
      <c r="J102" t="s">
        <v>29</v>
      </c>
      <c r="K102" t="s">
        <v>30</v>
      </c>
      <c r="L102" t="s">
        <v>31</v>
      </c>
      <c r="M102" t="s">
        <v>32</v>
      </c>
      <c r="N102" t="s">
        <v>32</v>
      </c>
      <c r="O102" t="s">
        <v>32</v>
      </c>
      <c r="P102" t="s">
        <v>33</v>
      </c>
      <c r="Q102" t="s">
        <v>470</v>
      </c>
      <c r="R102" s="3">
        <v>10</v>
      </c>
      <c r="S102" t="s">
        <v>32</v>
      </c>
      <c r="T102" s="1">
        <v>45398.45212962963</v>
      </c>
      <c r="U102" s="1">
        <v>45441.490115740744</v>
      </c>
      <c r="V102" s="2" t="s">
        <v>471</v>
      </c>
    </row>
    <row r="103" spans="1:22" hidden="1" x14ac:dyDescent="0.45">
      <c r="A103" t="s">
        <v>393</v>
      </c>
      <c r="B103" t="s">
        <v>22</v>
      </c>
      <c r="C103" t="s">
        <v>472</v>
      </c>
      <c r="D103" t="s">
        <v>170</v>
      </c>
      <c r="F103" t="s">
        <v>25</v>
      </c>
      <c r="G103" t="s">
        <v>26</v>
      </c>
      <c r="H103" t="s">
        <v>27</v>
      </c>
      <c r="I103" t="s">
        <v>28</v>
      </c>
      <c r="J103" t="s">
        <v>29</v>
      </c>
      <c r="K103" t="s">
        <v>30</v>
      </c>
      <c r="L103" t="s">
        <v>31</v>
      </c>
      <c r="M103" t="s">
        <v>32</v>
      </c>
      <c r="N103" t="s">
        <v>32</v>
      </c>
      <c r="O103" t="s">
        <v>32</v>
      </c>
      <c r="P103" t="s">
        <v>33</v>
      </c>
      <c r="Q103" t="s">
        <v>473</v>
      </c>
      <c r="R103" s="3">
        <v>15</v>
      </c>
      <c r="S103" t="s">
        <v>32</v>
      </c>
      <c r="T103" s="1">
        <v>45526.66238425926</v>
      </c>
      <c r="U103" s="1">
        <v>45526.662986111114</v>
      </c>
      <c r="V103" s="2" t="s">
        <v>474</v>
      </c>
    </row>
    <row r="104" spans="1:22" hidden="1" x14ac:dyDescent="0.45">
      <c r="A104" t="s">
        <v>393</v>
      </c>
      <c r="B104" t="s">
        <v>22</v>
      </c>
      <c r="C104" t="s">
        <v>475</v>
      </c>
      <c r="D104" t="s">
        <v>476</v>
      </c>
      <c r="F104" t="s">
        <v>25</v>
      </c>
      <c r="G104" t="s">
        <v>26</v>
      </c>
      <c r="H104" t="s">
        <v>27</v>
      </c>
      <c r="I104" t="s">
        <v>28</v>
      </c>
      <c r="J104" t="s">
        <v>29</v>
      </c>
      <c r="K104" t="s">
        <v>30</v>
      </c>
      <c r="L104" t="s">
        <v>31</v>
      </c>
      <c r="M104" t="s">
        <v>32</v>
      </c>
      <c r="N104" t="s">
        <v>32</v>
      </c>
      <c r="O104" t="s">
        <v>32</v>
      </c>
      <c r="P104" t="s">
        <v>33</v>
      </c>
      <c r="Q104" t="s">
        <v>477</v>
      </c>
      <c r="R104" s="3">
        <v>3</v>
      </c>
      <c r="S104" t="s">
        <v>32</v>
      </c>
      <c r="T104" s="1">
        <v>45398.45212962963</v>
      </c>
      <c r="U104" s="1">
        <v>45441.491412037038</v>
      </c>
      <c r="V104" s="2" t="s">
        <v>478</v>
      </c>
    </row>
    <row r="105" spans="1:22" hidden="1" x14ac:dyDescent="0.45">
      <c r="A105" t="s">
        <v>393</v>
      </c>
      <c r="B105" t="s">
        <v>22</v>
      </c>
      <c r="C105" t="s">
        <v>479</v>
      </c>
      <c r="D105" t="s">
        <v>480</v>
      </c>
      <c r="F105" t="s">
        <v>25</v>
      </c>
      <c r="G105" t="s">
        <v>26</v>
      </c>
      <c r="H105" t="s">
        <v>27</v>
      </c>
      <c r="I105" t="s">
        <v>28</v>
      </c>
      <c r="J105" t="s">
        <v>29</v>
      </c>
      <c r="K105" t="s">
        <v>30</v>
      </c>
      <c r="L105" t="s">
        <v>31</v>
      </c>
      <c r="M105" t="s">
        <v>32</v>
      </c>
      <c r="N105" t="s">
        <v>32</v>
      </c>
      <c r="O105" t="s">
        <v>32</v>
      </c>
      <c r="P105" t="s">
        <v>33</v>
      </c>
      <c r="Q105" t="s">
        <v>481</v>
      </c>
      <c r="R105" s="3">
        <v>10</v>
      </c>
      <c r="S105" t="s">
        <v>32</v>
      </c>
      <c r="T105" s="1">
        <v>45398.45212962963</v>
      </c>
      <c r="U105" s="1">
        <v>45428.71837962963</v>
      </c>
      <c r="V105" s="2" t="s">
        <v>482</v>
      </c>
    </row>
    <row r="106" spans="1:22" hidden="1" x14ac:dyDescent="0.45">
      <c r="A106" t="s">
        <v>393</v>
      </c>
      <c r="B106" t="s">
        <v>22</v>
      </c>
      <c r="C106" t="s">
        <v>483</v>
      </c>
      <c r="D106" t="s">
        <v>484</v>
      </c>
      <c r="F106" t="s">
        <v>25</v>
      </c>
      <c r="G106" t="s">
        <v>26</v>
      </c>
      <c r="H106" t="s">
        <v>27</v>
      </c>
      <c r="I106" t="s">
        <v>28</v>
      </c>
      <c r="J106" t="s">
        <v>29</v>
      </c>
      <c r="K106" t="s">
        <v>30</v>
      </c>
      <c r="L106" t="s">
        <v>31</v>
      </c>
      <c r="M106" t="s">
        <v>32</v>
      </c>
      <c r="N106" t="s">
        <v>32</v>
      </c>
      <c r="O106" t="s">
        <v>32</v>
      </c>
      <c r="P106" t="s">
        <v>33</v>
      </c>
      <c r="Q106" t="s">
        <v>485</v>
      </c>
      <c r="R106" s="3">
        <v>15</v>
      </c>
      <c r="S106" t="s">
        <v>32</v>
      </c>
      <c r="T106" s="1">
        <v>45546.600729166668</v>
      </c>
      <c r="U106" s="1">
        <v>45546.601168981484</v>
      </c>
      <c r="V106" s="2" t="s">
        <v>486</v>
      </c>
    </row>
    <row r="107" spans="1:22" hidden="1" x14ac:dyDescent="0.45">
      <c r="A107" t="s">
        <v>393</v>
      </c>
      <c r="B107" t="s">
        <v>22</v>
      </c>
      <c r="C107" t="s">
        <v>487</v>
      </c>
      <c r="D107" t="s">
        <v>488</v>
      </c>
      <c r="F107" t="s">
        <v>25</v>
      </c>
      <c r="G107" t="s">
        <v>26</v>
      </c>
      <c r="H107" t="s">
        <v>27</v>
      </c>
      <c r="I107" t="s">
        <v>28</v>
      </c>
      <c r="J107" t="s">
        <v>29</v>
      </c>
      <c r="K107" t="s">
        <v>30</v>
      </c>
      <c r="L107" t="s">
        <v>31</v>
      </c>
      <c r="M107" t="s">
        <v>32</v>
      </c>
      <c r="N107" t="s">
        <v>32</v>
      </c>
      <c r="O107" t="s">
        <v>32</v>
      </c>
      <c r="P107" t="s">
        <v>33</v>
      </c>
      <c r="Q107" t="s">
        <v>489</v>
      </c>
      <c r="R107" s="3" t="s">
        <v>32</v>
      </c>
      <c r="S107" t="s">
        <v>32</v>
      </c>
      <c r="T107" s="1">
        <v>45444.503449074073</v>
      </c>
      <c r="U107" s="1">
        <v>45496.688194444447</v>
      </c>
      <c r="V107" s="2" t="s">
        <v>490</v>
      </c>
    </row>
    <row r="108" spans="1:22" hidden="1" x14ac:dyDescent="0.45">
      <c r="A108" t="s">
        <v>393</v>
      </c>
      <c r="B108" t="s">
        <v>22</v>
      </c>
      <c r="C108" t="s">
        <v>491</v>
      </c>
      <c r="D108" t="s">
        <v>206</v>
      </c>
      <c r="F108" t="s">
        <v>25</v>
      </c>
      <c r="G108" t="s">
        <v>26</v>
      </c>
      <c r="H108" t="s">
        <v>27</v>
      </c>
      <c r="I108" t="s">
        <v>28</v>
      </c>
      <c r="J108" t="s">
        <v>29</v>
      </c>
      <c r="K108" t="s">
        <v>30</v>
      </c>
      <c r="L108" t="s">
        <v>31</v>
      </c>
      <c r="M108" t="s">
        <v>32</v>
      </c>
      <c r="N108" t="s">
        <v>32</v>
      </c>
      <c r="O108" t="s">
        <v>32</v>
      </c>
      <c r="P108" t="s">
        <v>33</v>
      </c>
      <c r="Q108" t="s">
        <v>492</v>
      </c>
      <c r="R108" s="3" t="s">
        <v>32</v>
      </c>
      <c r="S108" t="s">
        <v>32</v>
      </c>
      <c r="T108" s="1">
        <v>45398.45212962963</v>
      </c>
      <c r="U108" s="1">
        <v>45426.455648148149</v>
      </c>
      <c r="V108" s="2" t="s">
        <v>493</v>
      </c>
    </row>
    <row r="109" spans="1:22" hidden="1" x14ac:dyDescent="0.45">
      <c r="A109" t="s">
        <v>393</v>
      </c>
      <c r="B109" t="s">
        <v>22</v>
      </c>
      <c r="C109" t="s">
        <v>494</v>
      </c>
      <c r="D109" t="s">
        <v>495</v>
      </c>
      <c r="F109" t="s">
        <v>25</v>
      </c>
      <c r="G109" t="s">
        <v>26</v>
      </c>
      <c r="H109" t="s">
        <v>27</v>
      </c>
      <c r="I109" t="s">
        <v>28</v>
      </c>
      <c r="J109" t="s">
        <v>29</v>
      </c>
      <c r="K109" t="s">
        <v>30</v>
      </c>
      <c r="L109" t="s">
        <v>31</v>
      </c>
      <c r="M109" t="s">
        <v>32</v>
      </c>
      <c r="N109" t="s">
        <v>32</v>
      </c>
      <c r="O109" t="s">
        <v>32</v>
      </c>
      <c r="P109" t="s">
        <v>33</v>
      </c>
      <c r="Q109" t="s">
        <v>496</v>
      </c>
      <c r="R109" s="3">
        <v>15</v>
      </c>
      <c r="S109" t="s">
        <v>32</v>
      </c>
      <c r="T109" s="1">
        <v>45398.45212962963</v>
      </c>
      <c r="U109" s="1">
        <v>45441.491099537037</v>
      </c>
      <c r="V109" s="2" t="s">
        <v>497</v>
      </c>
    </row>
    <row r="110" spans="1:22" hidden="1" x14ac:dyDescent="0.45">
      <c r="A110" t="s">
        <v>393</v>
      </c>
      <c r="B110" t="s">
        <v>22</v>
      </c>
      <c r="C110" t="s">
        <v>498</v>
      </c>
      <c r="D110" t="s">
        <v>499</v>
      </c>
      <c r="F110" t="s">
        <v>85</v>
      </c>
      <c r="G110" t="s">
        <v>26</v>
      </c>
      <c r="H110" t="s">
        <v>27</v>
      </c>
      <c r="I110" t="s">
        <v>28</v>
      </c>
      <c r="J110" t="s">
        <v>29</v>
      </c>
      <c r="K110" t="s">
        <v>30</v>
      </c>
      <c r="L110" t="s">
        <v>31</v>
      </c>
      <c r="M110" t="s">
        <v>32</v>
      </c>
      <c r="N110" t="s">
        <v>32</v>
      </c>
      <c r="O110" t="s">
        <v>32</v>
      </c>
      <c r="P110" t="s">
        <v>33</v>
      </c>
      <c r="Q110" t="s">
        <v>500</v>
      </c>
      <c r="R110" s="3">
        <v>3</v>
      </c>
      <c r="S110" t="s">
        <v>32</v>
      </c>
      <c r="T110" s="1">
        <v>45398.45212962963</v>
      </c>
      <c r="U110" s="1">
        <v>45428.720671296294</v>
      </c>
      <c r="V110" s="2" t="s">
        <v>501</v>
      </c>
    </row>
    <row r="111" spans="1:22" hidden="1" x14ac:dyDescent="0.45">
      <c r="A111" t="s">
        <v>393</v>
      </c>
      <c r="B111" t="s">
        <v>22</v>
      </c>
      <c r="C111" t="s">
        <v>502</v>
      </c>
      <c r="D111" t="s">
        <v>210</v>
      </c>
      <c r="F111" t="s">
        <v>25</v>
      </c>
      <c r="G111" t="s">
        <v>26</v>
      </c>
      <c r="H111" t="s">
        <v>27</v>
      </c>
      <c r="I111" t="s">
        <v>28</v>
      </c>
      <c r="J111" t="s">
        <v>29</v>
      </c>
      <c r="K111" t="s">
        <v>30</v>
      </c>
      <c r="L111" t="s">
        <v>31</v>
      </c>
      <c r="M111" t="s">
        <v>32</v>
      </c>
      <c r="N111" t="s">
        <v>32</v>
      </c>
      <c r="O111" t="s">
        <v>32</v>
      </c>
      <c r="P111" t="s">
        <v>33</v>
      </c>
      <c r="Q111" t="s">
        <v>503</v>
      </c>
      <c r="R111" s="3">
        <v>15</v>
      </c>
      <c r="S111" t="s">
        <v>32</v>
      </c>
      <c r="T111" s="1">
        <v>45398.45212962963</v>
      </c>
      <c r="U111" s="1">
        <v>45441.490752314814</v>
      </c>
      <c r="V111" s="2" t="s">
        <v>504</v>
      </c>
    </row>
    <row r="112" spans="1:22" hidden="1" x14ac:dyDescent="0.45">
      <c r="A112" t="s">
        <v>393</v>
      </c>
      <c r="B112" t="s">
        <v>22</v>
      </c>
      <c r="C112" t="s">
        <v>505</v>
      </c>
      <c r="D112" t="s">
        <v>506</v>
      </c>
      <c r="F112" t="s">
        <v>25</v>
      </c>
      <c r="G112" t="s">
        <v>26</v>
      </c>
      <c r="H112" t="s">
        <v>27</v>
      </c>
      <c r="I112" t="s">
        <v>28</v>
      </c>
      <c r="J112" t="s">
        <v>29</v>
      </c>
      <c r="K112" t="s">
        <v>30</v>
      </c>
      <c r="L112" t="s">
        <v>31</v>
      </c>
      <c r="M112" t="s">
        <v>32</v>
      </c>
      <c r="N112" t="s">
        <v>32</v>
      </c>
      <c r="O112" t="s">
        <v>32</v>
      </c>
      <c r="P112" t="s">
        <v>33</v>
      </c>
      <c r="Q112" t="s">
        <v>507</v>
      </c>
      <c r="R112" s="3">
        <v>15</v>
      </c>
      <c r="S112" t="s">
        <v>32</v>
      </c>
      <c r="T112" s="1">
        <v>45398.45212962963</v>
      </c>
      <c r="U112" s="1">
        <v>45428.53638888889</v>
      </c>
      <c r="V112" s="2" t="s">
        <v>508</v>
      </c>
    </row>
    <row r="113" spans="1:22" hidden="1" x14ac:dyDescent="0.45">
      <c r="A113" t="s">
        <v>393</v>
      </c>
      <c r="B113" t="s">
        <v>22</v>
      </c>
      <c r="C113" t="s">
        <v>509</v>
      </c>
      <c r="D113" t="s">
        <v>510</v>
      </c>
      <c r="F113" t="s">
        <v>25</v>
      </c>
      <c r="G113" t="s">
        <v>26</v>
      </c>
      <c r="H113" t="s">
        <v>27</v>
      </c>
      <c r="I113" t="s">
        <v>28</v>
      </c>
      <c r="J113" t="s">
        <v>29</v>
      </c>
      <c r="K113" t="s">
        <v>30</v>
      </c>
      <c r="L113" t="s">
        <v>31</v>
      </c>
      <c r="M113" t="s">
        <v>32</v>
      </c>
      <c r="N113" t="s">
        <v>32</v>
      </c>
      <c r="O113" t="s">
        <v>32</v>
      </c>
      <c r="P113" t="s">
        <v>33</v>
      </c>
      <c r="Q113" t="s">
        <v>511</v>
      </c>
      <c r="R113" s="3">
        <v>3</v>
      </c>
      <c r="S113" t="s">
        <v>32</v>
      </c>
      <c r="T113" s="1">
        <v>45398.45212962963</v>
      </c>
      <c r="U113" s="1">
        <v>45441.492662037039</v>
      </c>
      <c r="V113" s="2" t="s">
        <v>512</v>
      </c>
    </row>
    <row r="114" spans="1:22" hidden="1" x14ac:dyDescent="0.45">
      <c r="A114" t="s">
        <v>393</v>
      </c>
      <c r="B114" t="s">
        <v>22</v>
      </c>
      <c r="C114" t="s">
        <v>513</v>
      </c>
      <c r="D114" t="s">
        <v>514</v>
      </c>
      <c r="F114" t="s">
        <v>25</v>
      </c>
      <c r="G114" t="s">
        <v>26</v>
      </c>
      <c r="H114" t="s">
        <v>27</v>
      </c>
      <c r="I114" t="s">
        <v>28</v>
      </c>
      <c r="J114" t="s">
        <v>29</v>
      </c>
      <c r="K114" t="s">
        <v>30</v>
      </c>
      <c r="L114" t="s">
        <v>31</v>
      </c>
      <c r="M114" t="s">
        <v>32</v>
      </c>
      <c r="N114" t="s">
        <v>32</v>
      </c>
      <c r="O114" t="s">
        <v>32</v>
      </c>
      <c r="P114" t="s">
        <v>33</v>
      </c>
      <c r="Q114" t="s">
        <v>515</v>
      </c>
      <c r="R114" s="3">
        <v>3</v>
      </c>
      <c r="S114" t="s">
        <v>32</v>
      </c>
      <c r="T114" s="1">
        <v>45398.45212962963</v>
      </c>
      <c r="U114" s="1">
        <v>45441.492662037039</v>
      </c>
      <c r="V114" s="2" t="s">
        <v>516</v>
      </c>
    </row>
    <row r="115" spans="1:22" hidden="1" x14ac:dyDescent="0.45">
      <c r="A115" t="s">
        <v>393</v>
      </c>
      <c r="B115" t="s">
        <v>22</v>
      </c>
      <c r="C115" t="s">
        <v>517</v>
      </c>
      <c r="D115" t="s">
        <v>518</v>
      </c>
      <c r="F115" t="s">
        <v>25</v>
      </c>
      <c r="G115" t="s">
        <v>26</v>
      </c>
      <c r="H115" t="s">
        <v>27</v>
      </c>
      <c r="I115" t="s">
        <v>28</v>
      </c>
      <c r="J115" t="s">
        <v>29</v>
      </c>
      <c r="K115" t="s">
        <v>30</v>
      </c>
      <c r="L115" t="s">
        <v>31</v>
      </c>
      <c r="M115" t="s">
        <v>32</v>
      </c>
      <c r="N115" t="s">
        <v>32</v>
      </c>
      <c r="O115" t="s">
        <v>32</v>
      </c>
      <c r="P115" t="s">
        <v>33</v>
      </c>
      <c r="Q115" t="s">
        <v>519</v>
      </c>
      <c r="R115" s="3">
        <v>3</v>
      </c>
      <c r="S115" t="s">
        <v>32</v>
      </c>
      <c r="T115" s="1">
        <v>45398.45212962963</v>
      </c>
      <c r="U115" s="1">
        <v>45441.492118055554</v>
      </c>
      <c r="V115" s="2" t="s">
        <v>520</v>
      </c>
    </row>
    <row r="116" spans="1:22" hidden="1" x14ac:dyDescent="0.45">
      <c r="A116" t="s">
        <v>393</v>
      </c>
      <c r="B116" t="s">
        <v>22</v>
      </c>
      <c r="C116" t="s">
        <v>521</v>
      </c>
      <c r="D116" t="s">
        <v>522</v>
      </c>
      <c r="F116" t="s">
        <v>25</v>
      </c>
      <c r="G116" t="s">
        <v>26</v>
      </c>
      <c r="H116" t="s">
        <v>27</v>
      </c>
      <c r="I116" t="s">
        <v>28</v>
      </c>
      <c r="J116" t="s">
        <v>29</v>
      </c>
      <c r="K116" t="s">
        <v>30</v>
      </c>
      <c r="L116" t="s">
        <v>31</v>
      </c>
      <c r="M116" t="s">
        <v>32</v>
      </c>
      <c r="N116" t="s">
        <v>32</v>
      </c>
      <c r="O116" t="s">
        <v>32</v>
      </c>
      <c r="P116" t="s">
        <v>33</v>
      </c>
      <c r="Q116" t="s">
        <v>523</v>
      </c>
      <c r="R116" s="3" t="s">
        <v>32</v>
      </c>
      <c r="S116" t="s">
        <v>32</v>
      </c>
      <c r="T116" s="1">
        <v>45398.45212962963</v>
      </c>
      <c r="U116" s="1">
        <v>45547.45521990741</v>
      </c>
      <c r="V116" s="2" t="s">
        <v>524</v>
      </c>
    </row>
    <row r="117" spans="1:22" hidden="1" x14ac:dyDescent="0.45">
      <c r="A117" t="s">
        <v>393</v>
      </c>
      <c r="B117" t="s">
        <v>22</v>
      </c>
      <c r="C117" t="s">
        <v>525</v>
      </c>
      <c r="D117" t="s">
        <v>526</v>
      </c>
      <c r="F117" t="s">
        <v>76</v>
      </c>
      <c r="G117" t="s">
        <v>26</v>
      </c>
      <c r="H117" t="s">
        <v>27</v>
      </c>
      <c r="I117" t="s">
        <v>28</v>
      </c>
      <c r="J117" t="s">
        <v>29</v>
      </c>
      <c r="K117" t="s">
        <v>30</v>
      </c>
      <c r="L117" t="s">
        <v>31</v>
      </c>
      <c r="M117" t="s">
        <v>32</v>
      </c>
      <c r="N117" t="s">
        <v>32</v>
      </c>
      <c r="O117" t="s">
        <v>32</v>
      </c>
      <c r="P117" t="s">
        <v>33</v>
      </c>
      <c r="Q117" t="s">
        <v>527</v>
      </c>
      <c r="R117" s="3" t="s">
        <v>32</v>
      </c>
      <c r="S117" t="s">
        <v>32</v>
      </c>
      <c r="T117" s="1">
        <v>45439.726597222223</v>
      </c>
      <c r="U117" s="1">
        <v>45439.727418981478</v>
      </c>
      <c r="V117" s="2" t="s">
        <v>528</v>
      </c>
    </row>
    <row r="118" spans="1:22" hidden="1" x14ac:dyDescent="0.45">
      <c r="A118" t="s">
        <v>393</v>
      </c>
      <c r="B118" t="s">
        <v>22</v>
      </c>
      <c r="C118" t="s">
        <v>529</v>
      </c>
      <c r="D118" t="s">
        <v>530</v>
      </c>
      <c r="F118" t="s">
        <v>187</v>
      </c>
      <c r="G118" t="s">
        <v>26</v>
      </c>
      <c r="H118" t="s">
        <v>27</v>
      </c>
      <c r="I118" t="s">
        <v>28</v>
      </c>
      <c r="J118" t="s">
        <v>29</v>
      </c>
      <c r="K118" t="s">
        <v>30</v>
      </c>
      <c r="L118" t="s">
        <v>31</v>
      </c>
      <c r="M118" t="s">
        <v>32</v>
      </c>
      <c r="N118" t="s">
        <v>32</v>
      </c>
      <c r="O118" t="s">
        <v>32</v>
      </c>
      <c r="P118" t="s">
        <v>33</v>
      </c>
      <c r="Q118" t="s">
        <v>531</v>
      </c>
      <c r="R118" s="3" t="s">
        <v>32</v>
      </c>
      <c r="S118" t="s">
        <v>32</v>
      </c>
      <c r="T118" s="1">
        <v>45442.661805555559</v>
      </c>
      <c r="U118" s="1">
        <v>45442.661805555559</v>
      </c>
      <c r="V118" s="2" t="s">
        <v>532</v>
      </c>
    </row>
    <row r="119" spans="1:22" hidden="1" x14ac:dyDescent="0.45">
      <c r="A119" t="s">
        <v>393</v>
      </c>
      <c r="B119" t="s">
        <v>22</v>
      </c>
      <c r="C119" t="s">
        <v>533</v>
      </c>
      <c r="D119" t="s">
        <v>534</v>
      </c>
      <c r="F119" t="s">
        <v>85</v>
      </c>
      <c r="G119" t="s">
        <v>26</v>
      </c>
      <c r="H119" t="s">
        <v>27</v>
      </c>
      <c r="I119" t="s">
        <v>28</v>
      </c>
      <c r="J119" t="s">
        <v>29</v>
      </c>
      <c r="K119" t="s">
        <v>30</v>
      </c>
      <c r="L119" t="s">
        <v>31</v>
      </c>
      <c r="M119" t="s">
        <v>32</v>
      </c>
      <c r="N119" t="s">
        <v>32</v>
      </c>
      <c r="O119" t="s">
        <v>32</v>
      </c>
      <c r="P119" t="s">
        <v>33</v>
      </c>
      <c r="Q119" t="s">
        <v>535</v>
      </c>
      <c r="R119" s="3" t="s">
        <v>32</v>
      </c>
      <c r="S119" t="s">
        <v>32</v>
      </c>
      <c r="T119" s="1">
        <v>45485.420092592591</v>
      </c>
      <c r="U119" s="1">
        <v>45485.420092592591</v>
      </c>
      <c r="V119" s="2" t="s">
        <v>536</v>
      </c>
    </row>
    <row r="120" spans="1:22" hidden="1" x14ac:dyDescent="0.45">
      <c r="A120" t="s">
        <v>393</v>
      </c>
      <c r="B120" t="s">
        <v>213</v>
      </c>
      <c r="C120" t="s">
        <v>537</v>
      </c>
      <c r="D120" t="s">
        <v>538</v>
      </c>
      <c r="F120" t="s">
        <v>76</v>
      </c>
      <c r="G120" t="s">
        <v>26</v>
      </c>
      <c r="H120" t="s">
        <v>27</v>
      </c>
      <c r="I120" t="s">
        <v>28</v>
      </c>
      <c r="J120" t="s">
        <v>216</v>
      </c>
      <c r="K120" t="s">
        <v>30</v>
      </c>
      <c r="L120" t="s">
        <v>31</v>
      </c>
      <c r="M120" t="s">
        <v>32</v>
      </c>
      <c r="N120" t="s">
        <v>32</v>
      </c>
      <c r="O120" t="s">
        <v>32</v>
      </c>
      <c r="P120" t="s">
        <v>33</v>
      </c>
      <c r="Q120" t="s">
        <v>539</v>
      </c>
      <c r="R120" s="3">
        <v>10</v>
      </c>
      <c r="S120" t="s">
        <v>32</v>
      </c>
      <c r="T120" s="1">
        <v>45398.45212962963</v>
      </c>
      <c r="U120" s="1">
        <v>45428.732083333336</v>
      </c>
      <c r="V120" s="2" t="s">
        <v>540</v>
      </c>
    </row>
    <row r="121" spans="1:22" hidden="1" x14ac:dyDescent="0.45">
      <c r="A121" t="s">
        <v>393</v>
      </c>
      <c r="B121" t="s">
        <v>213</v>
      </c>
      <c r="C121" t="s">
        <v>541</v>
      </c>
      <c r="D121" t="s">
        <v>228</v>
      </c>
      <c r="F121" t="s">
        <v>102</v>
      </c>
      <c r="G121" t="s">
        <v>26</v>
      </c>
      <c r="H121" t="s">
        <v>27</v>
      </c>
      <c r="I121" t="s">
        <v>28</v>
      </c>
      <c r="J121" t="s">
        <v>216</v>
      </c>
      <c r="K121" t="s">
        <v>30</v>
      </c>
      <c r="L121" t="s">
        <v>31</v>
      </c>
      <c r="M121" t="s">
        <v>32</v>
      </c>
      <c r="N121" t="s">
        <v>32</v>
      </c>
      <c r="O121" t="s">
        <v>32</v>
      </c>
      <c r="P121" t="s">
        <v>33</v>
      </c>
      <c r="Q121" t="s">
        <v>542</v>
      </c>
      <c r="R121" s="3">
        <v>5</v>
      </c>
      <c r="S121" t="s">
        <v>32</v>
      </c>
      <c r="T121" s="1">
        <v>45398.45212962963</v>
      </c>
      <c r="U121" s="1">
        <v>45428.732604166667</v>
      </c>
      <c r="V121" s="2" t="s">
        <v>543</v>
      </c>
    </row>
    <row r="122" spans="1:22" hidden="1" x14ac:dyDescent="0.45">
      <c r="A122" t="s">
        <v>393</v>
      </c>
      <c r="B122" t="s">
        <v>213</v>
      </c>
      <c r="C122" t="s">
        <v>544</v>
      </c>
      <c r="D122" t="s">
        <v>545</v>
      </c>
      <c r="F122" t="s">
        <v>76</v>
      </c>
      <c r="G122" t="s">
        <v>26</v>
      </c>
      <c r="H122" t="s">
        <v>27</v>
      </c>
      <c r="I122" t="s">
        <v>28</v>
      </c>
      <c r="J122" t="s">
        <v>216</v>
      </c>
      <c r="K122" t="s">
        <v>30</v>
      </c>
      <c r="L122" t="s">
        <v>31</v>
      </c>
      <c r="M122" t="s">
        <v>32</v>
      </c>
      <c r="N122" t="s">
        <v>32</v>
      </c>
      <c r="O122" t="s">
        <v>32</v>
      </c>
      <c r="P122" t="s">
        <v>33</v>
      </c>
      <c r="Q122" t="s">
        <v>546</v>
      </c>
      <c r="R122" s="3">
        <v>5</v>
      </c>
      <c r="S122" t="s">
        <v>32</v>
      </c>
      <c r="T122" s="1">
        <v>45398.45212962963</v>
      </c>
      <c r="U122" s="1">
        <v>45428.732349537036</v>
      </c>
      <c r="V122" s="2" t="s">
        <v>547</v>
      </c>
    </row>
    <row r="123" spans="1:22" hidden="1" x14ac:dyDescent="0.45">
      <c r="A123" t="s">
        <v>393</v>
      </c>
      <c r="B123" t="s">
        <v>59</v>
      </c>
      <c r="C123" t="s">
        <v>548</v>
      </c>
      <c r="D123" t="s">
        <v>232</v>
      </c>
      <c r="F123" t="s">
        <v>233</v>
      </c>
      <c r="G123" t="s">
        <v>26</v>
      </c>
      <c r="H123" t="s">
        <v>62</v>
      </c>
      <c r="I123" t="s">
        <v>28</v>
      </c>
      <c r="J123" t="s">
        <v>32</v>
      </c>
      <c r="K123" t="s">
        <v>63</v>
      </c>
      <c r="L123" t="s">
        <v>64</v>
      </c>
      <c r="M123" t="s">
        <v>32</v>
      </c>
      <c r="N123" t="s">
        <v>32</v>
      </c>
      <c r="O123" t="s">
        <v>32</v>
      </c>
      <c r="P123" t="s">
        <v>32</v>
      </c>
      <c r="Q123" t="s">
        <v>549</v>
      </c>
      <c r="R123" s="3" t="s">
        <v>32</v>
      </c>
      <c r="S123" t="s">
        <v>32</v>
      </c>
      <c r="T123" s="1">
        <v>45398.45212962963</v>
      </c>
      <c r="U123" s="1">
        <v>45426.469212962962</v>
      </c>
      <c r="V123" s="2" t="s">
        <v>550</v>
      </c>
    </row>
    <row r="124" spans="1:22" hidden="1" x14ac:dyDescent="0.45">
      <c r="A124" t="s">
        <v>393</v>
      </c>
      <c r="B124" t="s">
        <v>59</v>
      </c>
      <c r="C124" t="s">
        <v>551</v>
      </c>
      <c r="D124" t="s">
        <v>552</v>
      </c>
      <c r="F124" t="s">
        <v>25</v>
      </c>
      <c r="G124" t="s">
        <v>26</v>
      </c>
      <c r="H124" t="s">
        <v>62</v>
      </c>
      <c r="I124" t="s">
        <v>28</v>
      </c>
      <c r="J124" t="s">
        <v>32</v>
      </c>
      <c r="K124" t="s">
        <v>63</v>
      </c>
      <c r="L124" t="s">
        <v>64</v>
      </c>
      <c r="M124" t="s">
        <v>32</v>
      </c>
      <c r="N124" t="s">
        <v>32</v>
      </c>
      <c r="O124" t="s">
        <v>32</v>
      </c>
      <c r="P124" t="s">
        <v>32</v>
      </c>
      <c r="Q124" t="s">
        <v>553</v>
      </c>
      <c r="R124" s="3" t="s">
        <v>32</v>
      </c>
      <c r="S124" t="s">
        <v>32</v>
      </c>
      <c r="T124" s="1">
        <v>45398.45212962963</v>
      </c>
      <c r="U124" s="1">
        <v>45427.436041666668</v>
      </c>
      <c r="V124" s="2" t="s">
        <v>554</v>
      </c>
    </row>
    <row r="125" spans="1:22" hidden="1" x14ac:dyDescent="0.45">
      <c r="A125" t="s">
        <v>393</v>
      </c>
      <c r="B125" t="s">
        <v>59</v>
      </c>
      <c r="C125" t="s">
        <v>555</v>
      </c>
      <c r="D125" t="s">
        <v>556</v>
      </c>
      <c r="F125" t="s">
        <v>85</v>
      </c>
      <c r="G125" t="s">
        <v>26</v>
      </c>
      <c r="H125" t="s">
        <v>62</v>
      </c>
      <c r="I125" t="s">
        <v>28</v>
      </c>
      <c r="J125" t="s">
        <v>32</v>
      </c>
      <c r="K125" t="s">
        <v>63</v>
      </c>
      <c r="L125" t="s">
        <v>64</v>
      </c>
      <c r="M125" t="s">
        <v>32</v>
      </c>
      <c r="N125" t="s">
        <v>32</v>
      </c>
      <c r="O125" t="s">
        <v>32</v>
      </c>
      <c r="P125" t="s">
        <v>32</v>
      </c>
      <c r="Q125" t="s">
        <v>557</v>
      </c>
      <c r="R125" s="3" t="s">
        <v>32</v>
      </c>
      <c r="S125" t="s">
        <v>32</v>
      </c>
      <c r="T125" s="1">
        <v>45398.45212962963</v>
      </c>
      <c r="U125" s="1">
        <v>45426.470590277779</v>
      </c>
      <c r="V125" s="2" t="s">
        <v>558</v>
      </c>
    </row>
    <row r="126" spans="1:22" hidden="1" x14ac:dyDescent="0.45">
      <c r="A126" t="s">
        <v>393</v>
      </c>
      <c r="B126" t="s">
        <v>59</v>
      </c>
      <c r="C126" t="s">
        <v>559</v>
      </c>
      <c r="D126" t="s">
        <v>251</v>
      </c>
      <c r="F126" t="s">
        <v>85</v>
      </c>
      <c r="G126" t="s">
        <v>26</v>
      </c>
      <c r="H126" t="s">
        <v>62</v>
      </c>
      <c r="I126" t="s">
        <v>28</v>
      </c>
      <c r="J126" t="s">
        <v>32</v>
      </c>
      <c r="K126" t="s">
        <v>63</v>
      </c>
      <c r="L126" t="s">
        <v>64</v>
      </c>
      <c r="M126" t="s">
        <v>32</v>
      </c>
      <c r="N126" t="s">
        <v>32</v>
      </c>
      <c r="O126" t="s">
        <v>32</v>
      </c>
      <c r="P126" t="s">
        <v>32</v>
      </c>
      <c r="Q126" t="s">
        <v>560</v>
      </c>
      <c r="R126" s="3" t="s">
        <v>32</v>
      </c>
      <c r="S126" t="s">
        <v>32</v>
      </c>
      <c r="T126" s="1">
        <v>45398.45212962963</v>
      </c>
      <c r="U126" s="1">
        <v>45426.471296296295</v>
      </c>
      <c r="V126" s="2" t="s">
        <v>561</v>
      </c>
    </row>
    <row r="127" spans="1:22" hidden="1" x14ac:dyDescent="0.45">
      <c r="A127" t="s">
        <v>393</v>
      </c>
      <c r="B127" t="s">
        <v>59</v>
      </c>
      <c r="C127" t="s">
        <v>562</v>
      </c>
      <c r="D127" t="s">
        <v>563</v>
      </c>
      <c r="F127" t="s">
        <v>233</v>
      </c>
      <c r="G127" t="s">
        <v>26</v>
      </c>
      <c r="H127" t="s">
        <v>62</v>
      </c>
      <c r="I127" t="s">
        <v>28</v>
      </c>
      <c r="J127" t="s">
        <v>32</v>
      </c>
      <c r="K127" t="s">
        <v>63</v>
      </c>
      <c r="L127" t="s">
        <v>64</v>
      </c>
      <c r="M127" t="s">
        <v>32</v>
      </c>
      <c r="N127" t="s">
        <v>32</v>
      </c>
      <c r="O127" t="s">
        <v>32</v>
      </c>
      <c r="P127" t="s">
        <v>32</v>
      </c>
      <c r="Q127" t="s">
        <v>564</v>
      </c>
      <c r="R127" s="3" t="s">
        <v>32</v>
      </c>
      <c r="S127" t="s">
        <v>32</v>
      </c>
      <c r="T127" s="1">
        <v>45398.45212962963</v>
      </c>
      <c r="U127" s="1">
        <v>45436.588020833333</v>
      </c>
      <c r="V127" s="2" t="s">
        <v>565</v>
      </c>
    </row>
    <row r="128" spans="1:22" hidden="1" x14ac:dyDescent="0.45">
      <c r="A128" t="s">
        <v>393</v>
      </c>
      <c r="B128" t="s">
        <v>59</v>
      </c>
      <c r="C128" t="s">
        <v>566</v>
      </c>
      <c r="D128" t="s">
        <v>567</v>
      </c>
      <c r="F128" t="s">
        <v>102</v>
      </c>
      <c r="G128" t="s">
        <v>26</v>
      </c>
      <c r="H128" t="s">
        <v>62</v>
      </c>
      <c r="I128" t="s">
        <v>28</v>
      </c>
      <c r="J128" t="s">
        <v>32</v>
      </c>
      <c r="K128" t="s">
        <v>63</v>
      </c>
      <c r="L128" t="s">
        <v>64</v>
      </c>
      <c r="M128" t="s">
        <v>32</v>
      </c>
      <c r="N128" t="s">
        <v>32</v>
      </c>
      <c r="O128" t="s">
        <v>32</v>
      </c>
      <c r="P128" t="s">
        <v>32</v>
      </c>
      <c r="Q128" t="s">
        <v>568</v>
      </c>
      <c r="R128" s="3" t="s">
        <v>32</v>
      </c>
      <c r="S128" t="s">
        <v>32</v>
      </c>
      <c r="T128" s="1">
        <v>45398.45212962963</v>
      </c>
      <c r="U128" s="1">
        <v>45426.473912037036</v>
      </c>
      <c r="V128" s="2" t="s">
        <v>569</v>
      </c>
    </row>
    <row r="129" spans="1:22" hidden="1" x14ac:dyDescent="0.45">
      <c r="A129" t="s">
        <v>393</v>
      </c>
      <c r="B129" t="s">
        <v>59</v>
      </c>
      <c r="C129" t="s">
        <v>570</v>
      </c>
      <c r="D129" t="s">
        <v>571</v>
      </c>
      <c r="F129" t="s">
        <v>25</v>
      </c>
      <c r="G129" t="s">
        <v>26</v>
      </c>
      <c r="H129" t="s">
        <v>62</v>
      </c>
      <c r="I129" t="s">
        <v>28</v>
      </c>
      <c r="J129" t="s">
        <v>32</v>
      </c>
      <c r="K129" t="s">
        <v>63</v>
      </c>
      <c r="L129" t="s">
        <v>64</v>
      </c>
      <c r="M129" t="s">
        <v>32</v>
      </c>
      <c r="N129" t="s">
        <v>32</v>
      </c>
      <c r="O129" t="s">
        <v>32</v>
      </c>
      <c r="P129" t="s">
        <v>32</v>
      </c>
      <c r="Q129" t="s">
        <v>572</v>
      </c>
      <c r="R129" s="3" t="s">
        <v>32</v>
      </c>
      <c r="S129" t="s">
        <v>32</v>
      </c>
      <c r="T129" s="1">
        <v>45398.45212962963</v>
      </c>
      <c r="U129" s="1">
        <v>45427.433749999997</v>
      </c>
      <c r="V129" s="2" t="s">
        <v>573</v>
      </c>
    </row>
    <row r="130" spans="1:22" hidden="1" x14ac:dyDescent="0.45">
      <c r="A130" t="s">
        <v>393</v>
      </c>
      <c r="B130" t="s">
        <v>59</v>
      </c>
      <c r="C130" t="s">
        <v>574</v>
      </c>
      <c r="D130" t="s">
        <v>575</v>
      </c>
      <c r="F130" t="s">
        <v>25</v>
      </c>
      <c r="G130" t="s">
        <v>26</v>
      </c>
      <c r="H130" t="s">
        <v>62</v>
      </c>
      <c r="I130" t="s">
        <v>28</v>
      </c>
      <c r="J130" t="s">
        <v>32</v>
      </c>
      <c r="K130" t="s">
        <v>63</v>
      </c>
      <c r="L130" t="s">
        <v>64</v>
      </c>
      <c r="M130" t="s">
        <v>32</v>
      </c>
      <c r="N130" t="s">
        <v>32</v>
      </c>
      <c r="O130" t="s">
        <v>32</v>
      </c>
      <c r="P130" t="s">
        <v>32</v>
      </c>
      <c r="Q130" t="s">
        <v>576</v>
      </c>
      <c r="R130" s="3" t="s">
        <v>32</v>
      </c>
      <c r="S130" t="s">
        <v>32</v>
      </c>
      <c r="T130" s="1">
        <v>45398.45212962963</v>
      </c>
      <c r="U130" s="1">
        <v>45427.434282407405</v>
      </c>
      <c r="V130" s="2" t="s">
        <v>577</v>
      </c>
    </row>
    <row r="131" spans="1:22" hidden="1" x14ac:dyDescent="0.45">
      <c r="A131" t="s">
        <v>393</v>
      </c>
      <c r="B131" t="s">
        <v>59</v>
      </c>
      <c r="C131" t="s">
        <v>578</v>
      </c>
      <c r="D131" t="s">
        <v>579</v>
      </c>
      <c r="F131" t="s">
        <v>25</v>
      </c>
      <c r="G131" t="s">
        <v>26</v>
      </c>
      <c r="H131" t="s">
        <v>62</v>
      </c>
      <c r="I131" t="s">
        <v>28</v>
      </c>
      <c r="J131" t="s">
        <v>32</v>
      </c>
      <c r="K131" t="s">
        <v>63</v>
      </c>
      <c r="L131" t="s">
        <v>64</v>
      </c>
      <c r="M131" t="s">
        <v>32</v>
      </c>
      <c r="N131" t="s">
        <v>32</v>
      </c>
      <c r="O131" t="s">
        <v>32</v>
      </c>
      <c r="P131" t="s">
        <v>32</v>
      </c>
      <c r="Q131" t="s">
        <v>580</v>
      </c>
      <c r="R131" s="3" t="s">
        <v>32</v>
      </c>
      <c r="S131" t="s">
        <v>32</v>
      </c>
      <c r="T131" s="1">
        <v>45398.45212962963</v>
      </c>
      <c r="U131" s="1">
        <v>45427.434108796297</v>
      </c>
      <c r="V131" s="2" t="s">
        <v>581</v>
      </c>
    </row>
    <row r="132" spans="1:22" hidden="1" x14ac:dyDescent="0.45">
      <c r="A132" t="s">
        <v>393</v>
      </c>
      <c r="B132" t="s">
        <v>59</v>
      </c>
      <c r="C132" t="s">
        <v>582</v>
      </c>
      <c r="D132" t="s">
        <v>583</v>
      </c>
      <c r="F132" t="s">
        <v>25</v>
      </c>
      <c r="G132" t="s">
        <v>26</v>
      </c>
      <c r="H132" t="s">
        <v>62</v>
      </c>
      <c r="I132" t="s">
        <v>28</v>
      </c>
      <c r="J132" t="s">
        <v>32</v>
      </c>
      <c r="K132" t="s">
        <v>63</v>
      </c>
      <c r="L132" t="s">
        <v>64</v>
      </c>
      <c r="M132" t="s">
        <v>32</v>
      </c>
      <c r="N132" t="s">
        <v>32</v>
      </c>
      <c r="O132" t="s">
        <v>32</v>
      </c>
      <c r="P132" t="s">
        <v>32</v>
      </c>
      <c r="Q132" t="s">
        <v>584</v>
      </c>
      <c r="R132" s="3" t="s">
        <v>32</v>
      </c>
      <c r="S132" t="s">
        <v>32</v>
      </c>
      <c r="T132" s="1">
        <v>45398.45212962963</v>
      </c>
      <c r="U132" s="1">
        <v>45427.434467592589</v>
      </c>
      <c r="V132" s="2" t="s">
        <v>585</v>
      </c>
    </row>
    <row r="133" spans="1:22" hidden="1" x14ac:dyDescent="0.45">
      <c r="A133" t="s">
        <v>393</v>
      </c>
      <c r="B133" t="s">
        <v>59</v>
      </c>
      <c r="C133" t="s">
        <v>586</v>
      </c>
      <c r="D133" t="s">
        <v>587</v>
      </c>
      <c r="F133" t="s">
        <v>25</v>
      </c>
      <c r="G133" t="s">
        <v>26</v>
      </c>
      <c r="H133" t="s">
        <v>62</v>
      </c>
      <c r="I133" t="s">
        <v>28</v>
      </c>
      <c r="J133" t="s">
        <v>32</v>
      </c>
      <c r="K133" t="s">
        <v>63</v>
      </c>
      <c r="L133" t="s">
        <v>64</v>
      </c>
      <c r="M133" t="s">
        <v>32</v>
      </c>
      <c r="N133" t="s">
        <v>32</v>
      </c>
      <c r="O133" t="s">
        <v>32</v>
      </c>
      <c r="P133" t="s">
        <v>32</v>
      </c>
      <c r="Q133" t="s">
        <v>588</v>
      </c>
      <c r="R133" s="3" t="s">
        <v>32</v>
      </c>
      <c r="S133" t="s">
        <v>32</v>
      </c>
      <c r="T133" s="1">
        <v>45398.45212962963</v>
      </c>
      <c r="U133" s="1">
        <v>45427.434652777774</v>
      </c>
      <c r="V133" s="2" t="s">
        <v>589</v>
      </c>
    </row>
    <row r="134" spans="1:22" hidden="1" x14ac:dyDescent="0.45">
      <c r="A134" t="s">
        <v>393</v>
      </c>
      <c r="B134" t="s">
        <v>277</v>
      </c>
      <c r="C134" t="s">
        <v>590</v>
      </c>
      <c r="D134" t="s">
        <v>279</v>
      </c>
      <c r="F134" t="s">
        <v>85</v>
      </c>
      <c r="G134" t="s">
        <v>26</v>
      </c>
      <c r="H134" t="s">
        <v>280</v>
      </c>
      <c r="I134" t="s">
        <v>281</v>
      </c>
      <c r="J134" t="s">
        <v>32</v>
      </c>
      <c r="K134" t="s">
        <v>63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591</v>
      </c>
      <c r="R134" s="3" t="s">
        <v>32</v>
      </c>
      <c r="S134" t="s">
        <v>32</v>
      </c>
      <c r="T134" s="1">
        <v>45398.45212962963</v>
      </c>
      <c r="U134" s="1">
        <v>45426.477314814816</v>
      </c>
      <c r="V134" s="2" t="s">
        <v>592</v>
      </c>
    </row>
    <row r="135" spans="1:22" hidden="1" x14ac:dyDescent="0.45">
      <c r="A135" t="s">
        <v>393</v>
      </c>
      <c r="B135" t="s">
        <v>593</v>
      </c>
      <c r="C135" t="s">
        <v>594</v>
      </c>
      <c r="D135" t="s">
        <v>595</v>
      </c>
      <c r="F135" t="s">
        <v>25</v>
      </c>
      <c r="G135" t="s">
        <v>26</v>
      </c>
      <c r="H135" t="s">
        <v>280</v>
      </c>
      <c r="I135" t="s">
        <v>281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596</v>
      </c>
      <c r="R135" s="3" t="s">
        <v>32</v>
      </c>
      <c r="S135" t="s">
        <v>32</v>
      </c>
      <c r="T135" s="1">
        <v>45398.45212962963</v>
      </c>
      <c r="U135" s="1">
        <v>45427.475636574076</v>
      </c>
      <c r="V135" s="2" t="s">
        <v>597</v>
      </c>
    </row>
    <row r="136" spans="1:22" hidden="1" x14ac:dyDescent="0.45">
      <c r="A136" t="s">
        <v>393</v>
      </c>
      <c r="B136" t="s">
        <v>284</v>
      </c>
      <c r="C136" t="s">
        <v>598</v>
      </c>
      <c r="D136" t="s">
        <v>286</v>
      </c>
      <c r="F136" t="s">
        <v>85</v>
      </c>
      <c r="G136" t="s">
        <v>188</v>
      </c>
      <c r="H136" t="s">
        <v>189</v>
      </c>
      <c r="I136" t="s">
        <v>287</v>
      </c>
      <c r="J136" t="s">
        <v>32</v>
      </c>
      <c r="K136" t="s">
        <v>63</v>
      </c>
      <c r="L136" t="s">
        <v>288</v>
      </c>
      <c r="M136" t="s">
        <v>32</v>
      </c>
      <c r="N136" t="s">
        <v>289</v>
      </c>
      <c r="O136" t="s">
        <v>290</v>
      </c>
      <c r="P136" t="s">
        <v>32</v>
      </c>
      <c r="Q136" t="s">
        <v>599</v>
      </c>
      <c r="R136" s="3" t="s">
        <v>32</v>
      </c>
      <c r="S136" t="s">
        <v>32</v>
      </c>
      <c r="T136" s="1">
        <v>45398.45212962963</v>
      </c>
      <c r="U136" s="1">
        <v>45426.478819444441</v>
      </c>
      <c r="V136" s="2" t="s">
        <v>600</v>
      </c>
    </row>
    <row r="137" spans="1:22" hidden="1" x14ac:dyDescent="0.45">
      <c r="A137" t="s">
        <v>393</v>
      </c>
      <c r="B137" t="s">
        <v>284</v>
      </c>
      <c r="C137" t="s">
        <v>601</v>
      </c>
      <c r="D137" t="s">
        <v>602</v>
      </c>
      <c r="F137" t="s">
        <v>85</v>
      </c>
      <c r="G137" t="s">
        <v>188</v>
      </c>
      <c r="H137" t="s">
        <v>189</v>
      </c>
      <c r="I137" t="s">
        <v>287</v>
      </c>
      <c r="J137" t="s">
        <v>32</v>
      </c>
      <c r="K137" t="s">
        <v>63</v>
      </c>
      <c r="L137" t="s">
        <v>288</v>
      </c>
      <c r="M137" t="s">
        <v>32</v>
      </c>
      <c r="N137" t="s">
        <v>289</v>
      </c>
      <c r="O137" t="s">
        <v>290</v>
      </c>
      <c r="P137" t="s">
        <v>32</v>
      </c>
      <c r="Q137" t="s">
        <v>603</v>
      </c>
      <c r="R137" s="3" t="s">
        <v>32</v>
      </c>
      <c r="S137" t="s">
        <v>32</v>
      </c>
      <c r="T137" s="1">
        <v>45398.45212962963</v>
      </c>
      <c r="U137" s="1">
        <v>45426.479305555556</v>
      </c>
      <c r="V137" s="2" t="s">
        <v>604</v>
      </c>
    </row>
    <row r="138" spans="1:22" hidden="1" x14ac:dyDescent="0.45">
      <c r="A138" t="s">
        <v>393</v>
      </c>
      <c r="B138" t="s">
        <v>284</v>
      </c>
      <c r="C138" t="s">
        <v>605</v>
      </c>
      <c r="D138" t="s">
        <v>606</v>
      </c>
      <c r="F138" t="s">
        <v>85</v>
      </c>
      <c r="G138" t="s">
        <v>188</v>
      </c>
      <c r="H138" t="s">
        <v>189</v>
      </c>
      <c r="I138" t="s">
        <v>287</v>
      </c>
      <c r="J138" t="s">
        <v>32</v>
      </c>
      <c r="K138" t="s">
        <v>63</v>
      </c>
      <c r="L138" t="s">
        <v>288</v>
      </c>
      <c r="M138" t="s">
        <v>32</v>
      </c>
      <c r="N138" t="s">
        <v>289</v>
      </c>
      <c r="O138" t="s">
        <v>290</v>
      </c>
      <c r="P138" t="s">
        <v>32</v>
      </c>
      <c r="Q138" t="s">
        <v>607</v>
      </c>
      <c r="R138" s="3" t="s">
        <v>32</v>
      </c>
      <c r="S138" t="s">
        <v>32</v>
      </c>
      <c r="T138" s="1">
        <v>45398.45212962963</v>
      </c>
      <c r="U138" s="1">
        <v>45427.639756944445</v>
      </c>
      <c r="V138" s="2" t="s">
        <v>608</v>
      </c>
    </row>
    <row r="139" spans="1:22" hidden="1" x14ac:dyDescent="0.45">
      <c r="A139" t="s">
        <v>393</v>
      </c>
      <c r="B139" t="s">
        <v>284</v>
      </c>
      <c r="C139" t="s">
        <v>609</v>
      </c>
      <c r="D139" t="s">
        <v>610</v>
      </c>
      <c r="F139" t="s">
        <v>85</v>
      </c>
      <c r="G139" t="s">
        <v>188</v>
      </c>
      <c r="H139" t="s">
        <v>189</v>
      </c>
      <c r="I139" t="s">
        <v>287</v>
      </c>
      <c r="J139" t="s">
        <v>32</v>
      </c>
      <c r="K139" t="s">
        <v>63</v>
      </c>
      <c r="L139" t="s">
        <v>288</v>
      </c>
      <c r="M139" t="s">
        <v>32</v>
      </c>
      <c r="N139" t="s">
        <v>289</v>
      </c>
      <c r="O139" t="s">
        <v>290</v>
      </c>
      <c r="P139" t="s">
        <v>32</v>
      </c>
      <c r="Q139" t="s">
        <v>611</v>
      </c>
      <c r="R139" s="3" t="s">
        <v>32</v>
      </c>
      <c r="S139" t="s">
        <v>32</v>
      </c>
      <c r="T139" s="1">
        <v>45398.45212962963</v>
      </c>
      <c r="U139" s="1">
        <v>45426.481620370374</v>
      </c>
      <c r="V139" s="2" t="s">
        <v>612</v>
      </c>
    </row>
    <row r="140" spans="1:22" hidden="1" x14ac:dyDescent="0.45">
      <c r="A140" t="s">
        <v>393</v>
      </c>
      <c r="B140" t="s">
        <v>293</v>
      </c>
      <c r="C140" t="s">
        <v>613</v>
      </c>
      <c r="D140" t="s">
        <v>295</v>
      </c>
      <c r="F140" t="s">
        <v>85</v>
      </c>
      <c r="G140" t="s">
        <v>26</v>
      </c>
      <c r="H140" t="s">
        <v>280</v>
      </c>
      <c r="I140" t="s">
        <v>281</v>
      </c>
      <c r="J140" t="s">
        <v>32</v>
      </c>
      <c r="K140" t="s">
        <v>63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614</v>
      </c>
      <c r="R140" s="3" t="s">
        <v>32</v>
      </c>
      <c r="S140" t="s">
        <v>32</v>
      </c>
      <c r="T140" s="1">
        <v>45398.452141203707</v>
      </c>
      <c r="U140" s="1">
        <v>45426.482094907406</v>
      </c>
      <c r="V140" s="2" t="s">
        <v>615</v>
      </c>
    </row>
    <row r="141" spans="1:22" hidden="1" x14ac:dyDescent="0.45">
      <c r="A141" t="s">
        <v>393</v>
      </c>
      <c r="B141" t="s">
        <v>293</v>
      </c>
      <c r="C141" t="s">
        <v>616</v>
      </c>
      <c r="D141" t="s">
        <v>293</v>
      </c>
      <c r="F141" t="s">
        <v>25</v>
      </c>
      <c r="G141" t="s">
        <v>32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617</v>
      </c>
      <c r="R141" s="3" t="s">
        <v>32</v>
      </c>
      <c r="S141" t="s">
        <v>32</v>
      </c>
      <c r="T141" s="1">
        <v>45398.452141203707</v>
      </c>
      <c r="U141" s="1">
        <v>45398.452141203707</v>
      </c>
      <c r="V141" s="2" t="s">
        <v>618</v>
      </c>
    </row>
    <row r="142" spans="1:22" hidden="1" x14ac:dyDescent="0.45">
      <c r="A142" t="s">
        <v>393</v>
      </c>
      <c r="B142" t="s">
        <v>298</v>
      </c>
      <c r="C142" t="s">
        <v>619</v>
      </c>
      <c r="D142" t="s">
        <v>306</v>
      </c>
      <c r="F142" t="s">
        <v>85</v>
      </c>
      <c r="G142" t="s">
        <v>32</v>
      </c>
      <c r="H142" t="s">
        <v>32</v>
      </c>
      <c r="I142" t="s">
        <v>32</v>
      </c>
      <c r="J142" t="s">
        <v>32</v>
      </c>
      <c r="K142" t="s">
        <v>32</v>
      </c>
      <c r="L142" t="s">
        <v>302</v>
      </c>
      <c r="M142" t="s">
        <v>32</v>
      </c>
      <c r="N142" t="s">
        <v>32</v>
      </c>
      <c r="O142" t="s">
        <v>32</v>
      </c>
      <c r="P142" t="s">
        <v>32</v>
      </c>
      <c r="Q142" t="s">
        <v>620</v>
      </c>
      <c r="R142" s="3" t="s">
        <v>32</v>
      </c>
      <c r="S142" t="s">
        <v>32</v>
      </c>
      <c r="T142" s="1">
        <v>45398.45212962963</v>
      </c>
      <c r="U142" s="1">
        <v>45398.45212962963</v>
      </c>
      <c r="V142" s="2" t="s">
        <v>621</v>
      </c>
    </row>
    <row r="143" spans="1:22" hidden="1" x14ac:dyDescent="0.45">
      <c r="A143" t="s">
        <v>393</v>
      </c>
      <c r="B143" t="s">
        <v>298</v>
      </c>
      <c r="C143" t="s">
        <v>622</v>
      </c>
      <c r="D143" t="s">
        <v>623</v>
      </c>
      <c r="F143" t="s">
        <v>85</v>
      </c>
      <c r="G143" t="s">
        <v>32</v>
      </c>
      <c r="H143" t="s">
        <v>32</v>
      </c>
      <c r="I143" t="s">
        <v>32</v>
      </c>
      <c r="J143" t="s">
        <v>32</v>
      </c>
      <c r="K143" t="s">
        <v>32</v>
      </c>
      <c r="L143" t="s">
        <v>302</v>
      </c>
      <c r="M143" t="s">
        <v>32</v>
      </c>
      <c r="N143" t="s">
        <v>32</v>
      </c>
      <c r="O143" t="s">
        <v>32</v>
      </c>
      <c r="P143" t="s">
        <v>32</v>
      </c>
      <c r="Q143" t="s">
        <v>624</v>
      </c>
      <c r="R143" s="3" t="s">
        <v>32</v>
      </c>
      <c r="S143" t="s">
        <v>32</v>
      </c>
      <c r="T143" s="1">
        <v>45398.45212962963</v>
      </c>
      <c r="U143" s="1">
        <v>45398.45212962963</v>
      </c>
      <c r="V143" s="2" t="s">
        <v>625</v>
      </c>
    </row>
    <row r="144" spans="1:22" hidden="1" x14ac:dyDescent="0.45">
      <c r="A144" t="s">
        <v>393</v>
      </c>
      <c r="B144" t="s">
        <v>626</v>
      </c>
      <c r="C144" t="s">
        <v>627</v>
      </c>
      <c r="D144" t="s">
        <v>628</v>
      </c>
      <c r="F144" t="s">
        <v>25</v>
      </c>
      <c r="G144" t="s">
        <v>32</v>
      </c>
      <c r="H144" t="s">
        <v>32</v>
      </c>
      <c r="I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629</v>
      </c>
      <c r="R144" s="3" t="s">
        <v>32</v>
      </c>
      <c r="S144" t="s">
        <v>32</v>
      </c>
      <c r="T144" s="1">
        <v>45398.452141203707</v>
      </c>
      <c r="U144" s="1">
        <v>45398.452141203707</v>
      </c>
      <c r="V144" s="2" t="s">
        <v>630</v>
      </c>
    </row>
    <row r="145" spans="1:22" hidden="1" x14ac:dyDescent="0.45">
      <c r="A145" t="s">
        <v>393</v>
      </c>
      <c r="B145" t="s">
        <v>626</v>
      </c>
      <c r="C145" t="s">
        <v>631</v>
      </c>
      <c r="D145" t="s">
        <v>632</v>
      </c>
      <c r="F145" t="s">
        <v>25</v>
      </c>
      <c r="G145" t="s">
        <v>32</v>
      </c>
      <c r="H145" t="s">
        <v>32</v>
      </c>
      <c r="I145" t="s">
        <v>32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633</v>
      </c>
      <c r="R145" s="3" t="s">
        <v>32</v>
      </c>
      <c r="S145" t="s">
        <v>32</v>
      </c>
      <c r="T145" s="1">
        <v>45398.452141203707</v>
      </c>
      <c r="U145" s="1">
        <v>45398.452141203707</v>
      </c>
      <c r="V145" s="2" t="s">
        <v>634</v>
      </c>
    </row>
    <row r="146" spans="1:22" hidden="1" x14ac:dyDescent="0.45">
      <c r="A146" t="s">
        <v>393</v>
      </c>
      <c r="B146" t="s">
        <v>309</v>
      </c>
      <c r="C146" t="s">
        <v>635</v>
      </c>
      <c r="D146" t="s">
        <v>317</v>
      </c>
      <c r="F146" t="s">
        <v>187</v>
      </c>
      <c r="G146" t="s">
        <v>188</v>
      </c>
      <c r="H146" t="s">
        <v>312</v>
      </c>
      <c r="I146" t="s">
        <v>313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636</v>
      </c>
      <c r="R146" s="3" t="s">
        <v>32</v>
      </c>
      <c r="S146" t="s">
        <v>32</v>
      </c>
      <c r="T146" s="1">
        <v>45398.45212962963</v>
      </c>
      <c r="U146" s="1">
        <v>45426.483067129629</v>
      </c>
      <c r="V146" s="2" t="s">
        <v>637</v>
      </c>
    </row>
    <row r="147" spans="1:22" hidden="1" x14ac:dyDescent="0.45">
      <c r="A147" t="s">
        <v>393</v>
      </c>
      <c r="B147" t="s">
        <v>309</v>
      </c>
      <c r="C147" t="s">
        <v>638</v>
      </c>
      <c r="D147" t="s">
        <v>321</v>
      </c>
      <c r="F147" t="s">
        <v>187</v>
      </c>
      <c r="G147" t="s">
        <v>188</v>
      </c>
      <c r="H147" t="s">
        <v>312</v>
      </c>
      <c r="I147" t="s">
        <v>313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639</v>
      </c>
      <c r="R147" s="3" t="s">
        <v>32</v>
      </c>
      <c r="S147" t="s">
        <v>32</v>
      </c>
      <c r="T147" s="1">
        <v>45398.45212962963</v>
      </c>
      <c r="U147" s="1">
        <v>45426.483460648145</v>
      </c>
      <c r="V147" s="2" t="s">
        <v>640</v>
      </c>
    </row>
    <row r="148" spans="1:22" hidden="1" x14ac:dyDescent="0.45">
      <c r="A148" t="s">
        <v>393</v>
      </c>
      <c r="B148" t="s">
        <v>309</v>
      </c>
      <c r="C148" t="s">
        <v>641</v>
      </c>
      <c r="D148" t="s">
        <v>642</v>
      </c>
      <c r="F148" t="s">
        <v>85</v>
      </c>
      <c r="G148" t="s">
        <v>188</v>
      </c>
      <c r="H148" t="s">
        <v>312</v>
      </c>
      <c r="I148" t="s">
        <v>313</v>
      </c>
      <c r="J148" t="s">
        <v>32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643</v>
      </c>
      <c r="R148" s="3" t="s">
        <v>32</v>
      </c>
      <c r="S148" t="s">
        <v>32</v>
      </c>
      <c r="T148" s="1">
        <v>45398.45212962963</v>
      </c>
      <c r="U148" s="1">
        <v>45426.485092592593</v>
      </c>
      <c r="V148" s="2" t="s">
        <v>644</v>
      </c>
    </row>
    <row r="149" spans="1:22" hidden="1" x14ac:dyDescent="0.45">
      <c r="A149" t="s">
        <v>393</v>
      </c>
      <c r="B149" t="s">
        <v>309</v>
      </c>
      <c r="C149" t="s">
        <v>645</v>
      </c>
      <c r="D149" t="s">
        <v>646</v>
      </c>
      <c r="F149" t="s">
        <v>85</v>
      </c>
      <c r="G149" t="s">
        <v>188</v>
      </c>
      <c r="H149" t="s">
        <v>312</v>
      </c>
      <c r="I149" t="s">
        <v>313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647</v>
      </c>
      <c r="R149" s="3" t="s">
        <v>32</v>
      </c>
      <c r="S149" t="s">
        <v>32</v>
      </c>
      <c r="T149" s="1">
        <v>45398.45212962963</v>
      </c>
      <c r="U149" s="1">
        <v>45426.485509259262</v>
      </c>
      <c r="V149" s="2" t="s">
        <v>648</v>
      </c>
    </row>
    <row r="150" spans="1:22" hidden="1" x14ac:dyDescent="0.45">
      <c r="A150" t="s">
        <v>393</v>
      </c>
      <c r="B150" t="s">
        <v>334</v>
      </c>
      <c r="C150" t="s">
        <v>649</v>
      </c>
      <c r="D150" t="s">
        <v>334</v>
      </c>
      <c r="F150" t="s">
        <v>85</v>
      </c>
      <c r="G150" t="s">
        <v>26</v>
      </c>
      <c r="H150" t="s">
        <v>27</v>
      </c>
      <c r="I150" t="s">
        <v>28</v>
      </c>
      <c r="J150" t="s">
        <v>32</v>
      </c>
      <c r="K150" t="s">
        <v>337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650</v>
      </c>
      <c r="R150" s="3" t="s">
        <v>32</v>
      </c>
      <c r="S150" t="s">
        <v>32</v>
      </c>
      <c r="T150" s="1">
        <v>45398.45212962963</v>
      </c>
      <c r="U150" s="1">
        <v>45426.485810185186</v>
      </c>
      <c r="V150" s="2" t="s">
        <v>651</v>
      </c>
    </row>
    <row r="151" spans="1:22" hidden="1" x14ac:dyDescent="0.45">
      <c r="A151" t="s">
        <v>393</v>
      </c>
      <c r="B151" t="s">
        <v>340</v>
      </c>
      <c r="C151" t="s">
        <v>652</v>
      </c>
      <c r="D151" t="s">
        <v>340</v>
      </c>
      <c r="F151" t="s">
        <v>85</v>
      </c>
      <c r="G151" t="s">
        <v>26</v>
      </c>
      <c r="H151" t="s">
        <v>62</v>
      </c>
      <c r="I151" t="s">
        <v>342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t="s">
        <v>653</v>
      </c>
      <c r="R151" s="3" t="s">
        <v>32</v>
      </c>
      <c r="S151" t="s">
        <v>32</v>
      </c>
      <c r="T151" s="1">
        <v>45398.452141203707</v>
      </c>
      <c r="U151" s="1">
        <v>45426.486296296294</v>
      </c>
      <c r="V151" s="2" t="s">
        <v>654</v>
      </c>
    </row>
    <row r="152" spans="1:22" hidden="1" x14ac:dyDescent="0.45">
      <c r="A152" t="s">
        <v>393</v>
      </c>
      <c r="B152" t="s">
        <v>345</v>
      </c>
      <c r="C152" t="s">
        <v>655</v>
      </c>
      <c r="D152" t="s">
        <v>347</v>
      </c>
      <c r="F152" t="s">
        <v>85</v>
      </c>
      <c r="G152" t="s">
        <v>26</v>
      </c>
      <c r="H152" t="s">
        <v>27</v>
      </c>
      <c r="I152" t="s">
        <v>28</v>
      </c>
      <c r="J152" t="s">
        <v>32</v>
      </c>
      <c r="K152" t="s">
        <v>337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656</v>
      </c>
      <c r="R152" s="3" t="s">
        <v>32</v>
      </c>
      <c r="S152" t="s">
        <v>32</v>
      </c>
      <c r="T152" s="1">
        <v>45398.452141203707</v>
      </c>
      <c r="U152" s="1">
        <v>45426.486840277779</v>
      </c>
      <c r="V152" s="2" t="s">
        <v>657</v>
      </c>
    </row>
    <row r="153" spans="1:22" hidden="1" x14ac:dyDescent="0.45">
      <c r="A153" t="s">
        <v>393</v>
      </c>
      <c r="B153" t="s">
        <v>350</v>
      </c>
      <c r="C153" t="s">
        <v>658</v>
      </c>
      <c r="D153" t="s">
        <v>352</v>
      </c>
      <c r="F153" t="s">
        <v>85</v>
      </c>
      <c r="G153" t="s">
        <v>26</v>
      </c>
      <c r="H153" t="s">
        <v>27</v>
      </c>
      <c r="I153" t="s">
        <v>28</v>
      </c>
      <c r="J153" t="s">
        <v>32</v>
      </c>
      <c r="K153" t="s">
        <v>63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659</v>
      </c>
      <c r="R153" s="3" t="s">
        <v>32</v>
      </c>
      <c r="S153" t="s">
        <v>32</v>
      </c>
      <c r="T153" s="1">
        <v>45398.45212962963</v>
      </c>
      <c r="U153" s="1">
        <v>45426.487453703703</v>
      </c>
      <c r="V153" s="2" t="s">
        <v>660</v>
      </c>
    </row>
    <row r="154" spans="1:22" hidden="1" x14ac:dyDescent="0.45">
      <c r="A154" t="s">
        <v>393</v>
      </c>
      <c r="B154" t="s">
        <v>661</v>
      </c>
      <c r="C154" t="s">
        <v>662</v>
      </c>
      <c r="D154" t="s">
        <v>661</v>
      </c>
      <c r="F154" t="s">
        <v>76</v>
      </c>
      <c r="G154" t="s">
        <v>26</v>
      </c>
      <c r="H154" t="s">
        <v>663</v>
      </c>
      <c r="I154" t="s">
        <v>28</v>
      </c>
      <c r="J154" t="s">
        <v>664</v>
      </c>
      <c r="K154" t="s">
        <v>30</v>
      </c>
      <c r="L154" t="s">
        <v>665</v>
      </c>
      <c r="M154" t="s">
        <v>64</v>
      </c>
      <c r="N154" t="s">
        <v>32</v>
      </c>
      <c r="O154" t="s">
        <v>32</v>
      </c>
      <c r="P154" t="s">
        <v>33</v>
      </c>
      <c r="Q154" t="s">
        <v>666</v>
      </c>
      <c r="R154" s="3" t="s">
        <v>32</v>
      </c>
      <c r="S154" t="s">
        <v>32</v>
      </c>
      <c r="T154" s="1">
        <v>45442.445601851854</v>
      </c>
      <c r="U154" s="1">
        <v>45442.445601851854</v>
      </c>
      <c r="V154" s="2" t="s">
        <v>667</v>
      </c>
    </row>
    <row r="155" spans="1:22" hidden="1" x14ac:dyDescent="0.45">
      <c r="A155" t="s">
        <v>393</v>
      </c>
      <c r="B155" t="s">
        <v>661</v>
      </c>
      <c r="C155" t="s">
        <v>668</v>
      </c>
      <c r="D155" t="s">
        <v>669</v>
      </c>
      <c r="F155" t="s">
        <v>25</v>
      </c>
      <c r="G155" t="s">
        <v>26</v>
      </c>
      <c r="H155" t="s">
        <v>663</v>
      </c>
      <c r="I155" t="s">
        <v>28</v>
      </c>
      <c r="J155" t="s">
        <v>32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670</v>
      </c>
      <c r="R155" s="3" t="s">
        <v>32</v>
      </c>
      <c r="S155" t="s">
        <v>32</v>
      </c>
      <c r="T155" s="1">
        <v>45398.452141203707</v>
      </c>
      <c r="U155" s="1">
        <v>45427.424409722225</v>
      </c>
      <c r="V155" s="2" t="s">
        <v>671</v>
      </c>
    </row>
    <row r="156" spans="1:22" hidden="1" x14ac:dyDescent="0.45">
      <c r="A156" t="s">
        <v>393</v>
      </c>
      <c r="B156" t="s">
        <v>672</v>
      </c>
      <c r="C156" t="s">
        <v>673</v>
      </c>
      <c r="D156" t="s">
        <v>674</v>
      </c>
      <c r="F156" t="s">
        <v>25</v>
      </c>
      <c r="G156" t="s">
        <v>188</v>
      </c>
      <c r="H156" t="s">
        <v>189</v>
      </c>
      <c r="I156" t="s">
        <v>190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675</v>
      </c>
      <c r="R156" s="3" t="s">
        <v>32</v>
      </c>
      <c r="S156" t="s">
        <v>32</v>
      </c>
      <c r="T156" s="1">
        <v>45398.452141203707</v>
      </c>
      <c r="U156" s="1">
        <v>45427.482106481482</v>
      </c>
      <c r="V156" s="2" t="s">
        <v>676</v>
      </c>
    </row>
    <row r="157" spans="1:22" hidden="1" x14ac:dyDescent="0.45">
      <c r="A157" t="s">
        <v>393</v>
      </c>
      <c r="B157" t="s">
        <v>368</v>
      </c>
      <c r="C157" t="s">
        <v>677</v>
      </c>
      <c r="D157" t="s">
        <v>368</v>
      </c>
      <c r="F157" t="s">
        <v>85</v>
      </c>
      <c r="G157" t="s">
        <v>26</v>
      </c>
      <c r="H157" t="s">
        <v>27</v>
      </c>
      <c r="I157" t="s">
        <v>28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678</v>
      </c>
      <c r="R157" s="3" t="s">
        <v>32</v>
      </c>
      <c r="S157" t="s">
        <v>32</v>
      </c>
      <c r="T157" s="1">
        <v>45398.452141203707</v>
      </c>
      <c r="U157" s="1">
        <v>45426.488287037035</v>
      </c>
      <c r="V157" s="2" t="s">
        <v>679</v>
      </c>
    </row>
    <row r="158" spans="1:22" hidden="1" x14ac:dyDescent="0.45">
      <c r="A158" t="s">
        <v>393</v>
      </c>
      <c r="B158" t="s">
        <v>680</v>
      </c>
      <c r="C158" t="s">
        <v>681</v>
      </c>
      <c r="D158" t="s">
        <v>680</v>
      </c>
      <c r="F158" t="s">
        <v>85</v>
      </c>
      <c r="G158" t="s">
        <v>26</v>
      </c>
      <c r="H158" t="s">
        <v>62</v>
      </c>
      <c r="I158" t="s">
        <v>342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682</v>
      </c>
      <c r="R158" s="3" t="s">
        <v>32</v>
      </c>
      <c r="S158" t="s">
        <v>32</v>
      </c>
      <c r="T158" s="1">
        <v>45398.45212962963</v>
      </c>
      <c r="U158" s="1">
        <v>45426.488518518519</v>
      </c>
      <c r="V158" s="2" t="s">
        <v>683</v>
      </c>
    </row>
    <row r="159" spans="1:22" hidden="1" x14ac:dyDescent="0.45">
      <c r="A159" t="s">
        <v>393</v>
      </c>
      <c r="B159" t="s">
        <v>372</v>
      </c>
      <c r="C159" t="s">
        <v>684</v>
      </c>
      <c r="D159" t="s">
        <v>372</v>
      </c>
      <c r="F159" t="s">
        <v>56</v>
      </c>
      <c r="G159" t="s">
        <v>188</v>
      </c>
      <c r="H159" t="s">
        <v>189</v>
      </c>
      <c r="I159" t="s">
        <v>287</v>
      </c>
      <c r="J159" t="s">
        <v>374</v>
      </c>
      <c r="K159" t="s">
        <v>30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685</v>
      </c>
      <c r="R159" s="3" t="s">
        <v>32</v>
      </c>
      <c r="S159" t="s">
        <v>32</v>
      </c>
      <c r="T159" s="1">
        <v>45398.45212962963</v>
      </c>
      <c r="U159" s="1">
        <v>45427.426006944443</v>
      </c>
      <c r="V159" s="2" t="s">
        <v>686</v>
      </c>
    </row>
    <row r="160" spans="1:22" hidden="1" x14ac:dyDescent="0.45">
      <c r="A160" t="s">
        <v>393</v>
      </c>
      <c r="B160" t="s">
        <v>385</v>
      </c>
      <c r="C160" t="s">
        <v>687</v>
      </c>
      <c r="D160" t="s">
        <v>688</v>
      </c>
      <c r="F160" t="s">
        <v>56</v>
      </c>
      <c r="G160" t="s">
        <v>26</v>
      </c>
      <c r="H160" t="s">
        <v>62</v>
      </c>
      <c r="I160" t="s">
        <v>28</v>
      </c>
      <c r="J160" t="s">
        <v>32</v>
      </c>
      <c r="K160" t="s">
        <v>63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689</v>
      </c>
      <c r="R160" s="3" t="s">
        <v>32</v>
      </c>
      <c r="S160" t="s">
        <v>32</v>
      </c>
      <c r="T160" s="1">
        <v>45398.45212962963</v>
      </c>
      <c r="U160" s="1">
        <v>45426.488888888889</v>
      </c>
      <c r="V160" s="2" t="s">
        <v>690</v>
      </c>
    </row>
    <row r="161" spans="1:22" hidden="1" x14ac:dyDescent="0.45">
      <c r="A161" t="s">
        <v>393</v>
      </c>
      <c r="B161" t="s">
        <v>691</v>
      </c>
      <c r="C161" t="s">
        <v>692</v>
      </c>
      <c r="D161" t="s">
        <v>693</v>
      </c>
      <c r="F161" t="s">
        <v>25</v>
      </c>
      <c r="G161" t="s">
        <v>32</v>
      </c>
      <c r="H161" t="s">
        <v>32</v>
      </c>
      <c r="I161" t="s">
        <v>32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694</v>
      </c>
      <c r="R161" s="3" t="s">
        <v>32</v>
      </c>
      <c r="S161" t="s">
        <v>32</v>
      </c>
      <c r="T161" s="1">
        <v>45398.45212962963</v>
      </c>
      <c r="U161" s="1">
        <v>45398.45212962963</v>
      </c>
      <c r="V161" s="2" t="s">
        <v>695</v>
      </c>
    </row>
    <row r="162" spans="1:22" hidden="1" x14ac:dyDescent="0.45">
      <c r="A162" t="s">
        <v>393</v>
      </c>
      <c r="B162" t="s">
        <v>696</v>
      </c>
      <c r="C162" t="s">
        <v>697</v>
      </c>
      <c r="D162" t="s">
        <v>698</v>
      </c>
      <c r="F162" t="s">
        <v>25</v>
      </c>
      <c r="G162" t="s">
        <v>32</v>
      </c>
      <c r="H162" t="s">
        <v>32</v>
      </c>
      <c r="I162" t="s">
        <v>32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699</v>
      </c>
      <c r="R162" s="3" t="s">
        <v>32</v>
      </c>
      <c r="S162" t="s">
        <v>32</v>
      </c>
      <c r="T162" s="1">
        <v>45398.45212962963</v>
      </c>
      <c r="U162" s="1">
        <v>45426.492210648146</v>
      </c>
      <c r="V162" s="2" t="s">
        <v>700</v>
      </c>
    </row>
    <row r="163" spans="1:22" hidden="1" x14ac:dyDescent="0.45">
      <c r="A163" t="s">
        <v>393</v>
      </c>
      <c r="B163" t="s">
        <v>701</v>
      </c>
      <c r="C163" t="s">
        <v>702</v>
      </c>
      <c r="D163" t="s">
        <v>703</v>
      </c>
      <c r="F163" t="s">
        <v>71</v>
      </c>
      <c r="G163" t="s">
        <v>188</v>
      </c>
      <c r="H163" t="s">
        <v>189</v>
      </c>
      <c r="I163" t="s">
        <v>190</v>
      </c>
      <c r="J163" t="s">
        <v>704</v>
      </c>
      <c r="K163" t="s">
        <v>30</v>
      </c>
      <c r="L163" t="s">
        <v>705</v>
      </c>
      <c r="M163" t="s">
        <v>32</v>
      </c>
      <c r="N163" t="s">
        <v>32</v>
      </c>
      <c r="O163" t="s">
        <v>32</v>
      </c>
      <c r="P163" t="s">
        <v>32</v>
      </c>
      <c r="Q163" t="s">
        <v>706</v>
      </c>
      <c r="R163" s="3" t="s">
        <v>32</v>
      </c>
      <c r="S163" t="s">
        <v>32</v>
      </c>
      <c r="T163" s="1">
        <v>45484.474212962959</v>
      </c>
      <c r="U163" s="1">
        <v>45484.47488425926</v>
      </c>
      <c r="V163" s="2" t="s">
        <v>707</v>
      </c>
    </row>
    <row r="164" spans="1:22" hidden="1" x14ac:dyDescent="0.45">
      <c r="A164" t="s">
        <v>393</v>
      </c>
      <c r="B164" t="s">
        <v>701</v>
      </c>
      <c r="C164" t="s">
        <v>708</v>
      </c>
      <c r="D164" t="s">
        <v>709</v>
      </c>
      <c r="F164" t="s">
        <v>25</v>
      </c>
      <c r="G164" t="s">
        <v>32</v>
      </c>
      <c r="H164" t="s">
        <v>32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710</v>
      </c>
      <c r="R164" s="3" t="s">
        <v>32</v>
      </c>
      <c r="S164" t="s">
        <v>32</v>
      </c>
      <c r="T164" s="1">
        <v>45398.45212962963</v>
      </c>
      <c r="U164" s="1">
        <v>45436.59</v>
      </c>
      <c r="V164" s="2" t="s">
        <v>711</v>
      </c>
    </row>
    <row r="165" spans="1:22" x14ac:dyDescent="0.45">
      <c r="A165" t="s">
        <v>712</v>
      </c>
      <c r="B165" t="s">
        <v>22</v>
      </c>
      <c r="C165" t="s">
        <v>713</v>
      </c>
      <c r="D165" t="s">
        <v>24</v>
      </c>
      <c r="F165" t="s">
        <v>25</v>
      </c>
      <c r="G165" t="s">
        <v>26</v>
      </c>
      <c r="H165" t="s">
        <v>27</v>
      </c>
      <c r="I165" t="s">
        <v>28</v>
      </c>
      <c r="J165" t="s">
        <v>29</v>
      </c>
      <c r="K165" t="s">
        <v>30</v>
      </c>
      <c r="L165" t="s">
        <v>31</v>
      </c>
      <c r="M165" t="s">
        <v>32</v>
      </c>
      <c r="N165" t="s">
        <v>32</v>
      </c>
      <c r="O165" t="s">
        <v>32</v>
      </c>
      <c r="P165" t="s">
        <v>33</v>
      </c>
      <c r="Q165" t="s">
        <v>714</v>
      </c>
      <c r="R165" s="3">
        <v>21</v>
      </c>
      <c r="S165" t="s">
        <v>32</v>
      </c>
      <c r="T165" s="1">
        <v>45015.532847222225</v>
      </c>
      <c r="U165" s="1">
        <v>45428.534050925926</v>
      </c>
      <c r="V165" s="2" t="s">
        <v>715</v>
      </c>
    </row>
    <row r="166" spans="1:22" x14ac:dyDescent="0.45">
      <c r="A166" t="s">
        <v>712</v>
      </c>
      <c r="B166" t="s">
        <v>22</v>
      </c>
      <c r="C166" t="s">
        <v>716</v>
      </c>
      <c r="D166" t="s">
        <v>38</v>
      </c>
      <c r="F166" t="s">
        <v>25</v>
      </c>
      <c r="G166" t="s">
        <v>26</v>
      </c>
      <c r="H166" t="s">
        <v>27</v>
      </c>
      <c r="I166" t="s">
        <v>28</v>
      </c>
      <c r="J166" t="s">
        <v>29</v>
      </c>
      <c r="K166" t="s">
        <v>30</v>
      </c>
      <c r="L166" t="s">
        <v>31</v>
      </c>
      <c r="M166" t="s">
        <v>32</v>
      </c>
      <c r="N166" t="s">
        <v>32</v>
      </c>
      <c r="O166" t="s">
        <v>32</v>
      </c>
      <c r="P166" t="s">
        <v>33</v>
      </c>
      <c r="Q166" t="s">
        <v>717</v>
      </c>
      <c r="R166" s="3">
        <v>15</v>
      </c>
      <c r="S166" t="s">
        <v>32</v>
      </c>
      <c r="T166" s="1">
        <v>45015.532847222225</v>
      </c>
      <c r="U166" s="1">
        <v>45428.536365740743</v>
      </c>
      <c r="V166" s="2" t="s">
        <v>718</v>
      </c>
    </row>
    <row r="167" spans="1:22" x14ac:dyDescent="0.45">
      <c r="A167" t="s">
        <v>712</v>
      </c>
      <c r="B167" t="s">
        <v>22</v>
      </c>
      <c r="C167" t="s">
        <v>719</v>
      </c>
      <c r="D167" t="s">
        <v>43</v>
      </c>
      <c r="F167" t="s">
        <v>25</v>
      </c>
      <c r="G167" t="s">
        <v>26</v>
      </c>
      <c r="H167" t="s">
        <v>27</v>
      </c>
      <c r="I167" t="s">
        <v>28</v>
      </c>
      <c r="J167" t="s">
        <v>29</v>
      </c>
      <c r="K167" t="s">
        <v>30</v>
      </c>
      <c r="L167" t="s">
        <v>31</v>
      </c>
      <c r="M167" t="s">
        <v>32</v>
      </c>
      <c r="N167" t="s">
        <v>32</v>
      </c>
      <c r="O167" t="s">
        <v>32</v>
      </c>
      <c r="P167" t="s">
        <v>33</v>
      </c>
      <c r="Q167" t="s">
        <v>720</v>
      </c>
      <c r="R167" s="3">
        <v>3</v>
      </c>
      <c r="S167" t="s">
        <v>32</v>
      </c>
      <c r="T167" s="1">
        <v>45015.532847222225</v>
      </c>
      <c r="U167" s="1">
        <v>45428.537268518521</v>
      </c>
      <c r="V167" s="2" t="s">
        <v>721</v>
      </c>
    </row>
    <row r="168" spans="1:22" x14ac:dyDescent="0.45">
      <c r="A168" t="s">
        <v>712</v>
      </c>
      <c r="B168" t="s">
        <v>22</v>
      </c>
      <c r="C168" t="s">
        <v>722</v>
      </c>
      <c r="D168" t="s">
        <v>723</v>
      </c>
      <c r="F168" t="s">
        <v>56</v>
      </c>
      <c r="G168" t="s">
        <v>26</v>
      </c>
      <c r="H168" t="s">
        <v>27</v>
      </c>
      <c r="I168" t="s">
        <v>28</v>
      </c>
      <c r="J168" t="s">
        <v>29</v>
      </c>
      <c r="K168" t="s">
        <v>30</v>
      </c>
      <c r="L168" t="s">
        <v>31</v>
      </c>
      <c r="M168" t="s">
        <v>32</v>
      </c>
      <c r="N168" t="s">
        <v>32</v>
      </c>
      <c r="O168" t="s">
        <v>32</v>
      </c>
      <c r="P168" t="s">
        <v>33</v>
      </c>
      <c r="Q168" t="s">
        <v>724</v>
      </c>
      <c r="R168" s="3" t="s">
        <v>32</v>
      </c>
      <c r="S168" t="s">
        <v>32</v>
      </c>
      <c r="T168" s="1">
        <v>45015.532847222225</v>
      </c>
      <c r="U168" s="1">
        <v>45423.713229166664</v>
      </c>
      <c r="V168" s="2" t="s">
        <v>725</v>
      </c>
    </row>
    <row r="169" spans="1:22" x14ac:dyDescent="0.45">
      <c r="A169" t="s">
        <v>712</v>
      </c>
      <c r="B169" t="s">
        <v>22</v>
      </c>
      <c r="C169" t="s">
        <v>726</v>
      </c>
      <c r="D169" t="s">
        <v>727</v>
      </c>
      <c r="F169" t="s">
        <v>76</v>
      </c>
      <c r="G169" t="s">
        <v>26</v>
      </c>
      <c r="H169" t="s">
        <v>27</v>
      </c>
      <c r="I169" t="s">
        <v>28</v>
      </c>
      <c r="J169" t="s">
        <v>29</v>
      </c>
      <c r="K169" t="s">
        <v>30</v>
      </c>
      <c r="L169" t="s">
        <v>31</v>
      </c>
      <c r="M169" t="s">
        <v>32</v>
      </c>
      <c r="N169" t="s">
        <v>32</v>
      </c>
      <c r="O169" t="s">
        <v>32</v>
      </c>
      <c r="P169" t="s">
        <v>33</v>
      </c>
      <c r="Q169" t="s">
        <v>728</v>
      </c>
      <c r="R169" s="3" t="s">
        <v>32</v>
      </c>
      <c r="S169" t="s">
        <v>32</v>
      </c>
      <c r="T169" s="1">
        <v>45504.600127314814</v>
      </c>
      <c r="U169" s="1">
        <v>45505.7421875</v>
      </c>
      <c r="V169" s="2" t="s">
        <v>729</v>
      </c>
    </row>
    <row r="170" spans="1:22" x14ac:dyDescent="0.45">
      <c r="A170" t="s">
        <v>712</v>
      </c>
      <c r="B170" t="s">
        <v>22</v>
      </c>
      <c r="C170" t="s">
        <v>730</v>
      </c>
      <c r="D170" t="s">
        <v>47</v>
      </c>
      <c r="F170" t="s">
        <v>25</v>
      </c>
      <c r="G170" t="s">
        <v>26</v>
      </c>
      <c r="H170" t="s">
        <v>27</v>
      </c>
      <c r="I170" t="s">
        <v>28</v>
      </c>
      <c r="J170" t="s">
        <v>29</v>
      </c>
      <c r="K170" t="s">
        <v>30</v>
      </c>
      <c r="L170" t="s">
        <v>31</v>
      </c>
      <c r="M170" t="s">
        <v>32</v>
      </c>
      <c r="N170" t="s">
        <v>32</v>
      </c>
      <c r="O170" t="s">
        <v>32</v>
      </c>
      <c r="P170" t="s">
        <v>33</v>
      </c>
      <c r="Q170" t="s">
        <v>731</v>
      </c>
      <c r="R170" s="3">
        <v>10</v>
      </c>
      <c r="S170" t="s">
        <v>32</v>
      </c>
      <c r="T170" s="1">
        <v>45015.532847222225</v>
      </c>
      <c r="U170" s="1">
        <v>45428.708090277774</v>
      </c>
      <c r="V170" s="2" t="s">
        <v>732</v>
      </c>
    </row>
    <row r="171" spans="1:22" x14ac:dyDescent="0.45">
      <c r="A171" t="s">
        <v>712</v>
      </c>
      <c r="B171" t="s">
        <v>22</v>
      </c>
      <c r="C171" t="s">
        <v>733</v>
      </c>
      <c r="D171" t="s">
        <v>51</v>
      </c>
      <c r="F171" t="s">
        <v>25</v>
      </c>
      <c r="G171" t="s">
        <v>26</v>
      </c>
      <c r="H171" t="s">
        <v>27</v>
      </c>
      <c r="I171" t="s">
        <v>28</v>
      </c>
      <c r="J171" t="s">
        <v>29</v>
      </c>
      <c r="K171" t="s">
        <v>30</v>
      </c>
      <c r="L171" t="s">
        <v>31</v>
      </c>
      <c r="M171" t="s">
        <v>32</v>
      </c>
      <c r="N171" t="s">
        <v>32</v>
      </c>
      <c r="O171" t="s">
        <v>32</v>
      </c>
      <c r="P171" t="s">
        <v>33</v>
      </c>
      <c r="Q171" t="s">
        <v>734</v>
      </c>
      <c r="R171" s="3">
        <v>10</v>
      </c>
      <c r="S171" t="s">
        <v>32</v>
      </c>
      <c r="T171" s="1">
        <v>45015.532847222225</v>
      </c>
      <c r="U171" s="1">
        <v>45428.708090277774</v>
      </c>
      <c r="V171" s="2" t="s">
        <v>735</v>
      </c>
    </row>
    <row r="172" spans="1:22" x14ac:dyDescent="0.45">
      <c r="A172" t="s">
        <v>712</v>
      </c>
      <c r="B172" t="s">
        <v>22</v>
      </c>
      <c r="C172" t="s">
        <v>736</v>
      </c>
      <c r="D172" t="s">
        <v>55</v>
      </c>
      <c r="F172" t="s">
        <v>56</v>
      </c>
      <c r="G172" t="s">
        <v>26</v>
      </c>
      <c r="H172" t="s">
        <v>27</v>
      </c>
      <c r="I172" t="s">
        <v>28</v>
      </c>
      <c r="J172" t="s">
        <v>29</v>
      </c>
      <c r="K172" t="s">
        <v>30</v>
      </c>
      <c r="L172" t="s">
        <v>31</v>
      </c>
      <c r="M172" t="s">
        <v>32</v>
      </c>
      <c r="N172" t="s">
        <v>32</v>
      </c>
      <c r="O172" t="s">
        <v>32</v>
      </c>
      <c r="P172" t="s">
        <v>33</v>
      </c>
      <c r="Q172" t="s">
        <v>737</v>
      </c>
      <c r="R172" s="3">
        <v>10</v>
      </c>
      <c r="S172" t="s">
        <v>32</v>
      </c>
      <c r="T172" s="1">
        <v>45015.532847222225</v>
      </c>
      <c r="U172" s="1">
        <v>45428.71837962963</v>
      </c>
      <c r="V172" s="2" t="s">
        <v>738</v>
      </c>
    </row>
    <row r="173" spans="1:22" x14ac:dyDescent="0.45">
      <c r="A173" t="s">
        <v>712</v>
      </c>
      <c r="B173" t="s">
        <v>22</v>
      </c>
      <c r="C173" t="s">
        <v>739</v>
      </c>
      <c r="D173" t="s">
        <v>411</v>
      </c>
      <c r="F173" t="s">
        <v>71</v>
      </c>
      <c r="G173" t="s">
        <v>26</v>
      </c>
      <c r="H173" t="s">
        <v>27</v>
      </c>
      <c r="I173" t="s">
        <v>28</v>
      </c>
      <c r="J173" t="s">
        <v>29</v>
      </c>
      <c r="K173" t="s">
        <v>30</v>
      </c>
      <c r="L173" t="s">
        <v>31</v>
      </c>
      <c r="M173" t="s">
        <v>32</v>
      </c>
      <c r="N173" t="s">
        <v>32</v>
      </c>
      <c r="O173" t="s">
        <v>32</v>
      </c>
      <c r="P173" t="s">
        <v>33</v>
      </c>
      <c r="Q173" t="s">
        <v>740</v>
      </c>
      <c r="R173" s="3">
        <v>10</v>
      </c>
      <c r="S173" t="s">
        <v>32</v>
      </c>
      <c r="T173" s="1">
        <v>45015.532847222225</v>
      </c>
      <c r="U173" s="1">
        <v>45428.719201388885</v>
      </c>
      <c r="V173" s="2" t="s">
        <v>741</v>
      </c>
    </row>
    <row r="174" spans="1:22" x14ac:dyDescent="0.45">
      <c r="A174" t="s">
        <v>712</v>
      </c>
      <c r="B174" t="s">
        <v>22</v>
      </c>
      <c r="C174" t="s">
        <v>742</v>
      </c>
      <c r="D174" t="s">
        <v>70</v>
      </c>
      <c r="F174" t="s">
        <v>71</v>
      </c>
      <c r="G174" t="s">
        <v>26</v>
      </c>
      <c r="H174" t="s">
        <v>27</v>
      </c>
      <c r="I174" t="s">
        <v>28</v>
      </c>
      <c r="J174" t="s">
        <v>29</v>
      </c>
      <c r="K174" t="s">
        <v>30</v>
      </c>
      <c r="L174" t="s">
        <v>31</v>
      </c>
      <c r="M174" t="s">
        <v>32</v>
      </c>
      <c r="N174" t="s">
        <v>32</v>
      </c>
      <c r="O174" t="s">
        <v>32</v>
      </c>
      <c r="P174" t="s">
        <v>33</v>
      </c>
      <c r="Q174" t="s">
        <v>743</v>
      </c>
      <c r="R174" s="3">
        <v>3</v>
      </c>
      <c r="S174" t="s">
        <v>32</v>
      </c>
      <c r="T174" s="1">
        <v>45015.532847222225</v>
      </c>
      <c r="U174" s="1">
        <v>45428.732847222222</v>
      </c>
      <c r="V174" s="2" t="s">
        <v>744</v>
      </c>
    </row>
    <row r="175" spans="1:22" x14ac:dyDescent="0.45">
      <c r="A175" t="s">
        <v>712</v>
      </c>
      <c r="B175" t="s">
        <v>22</v>
      </c>
      <c r="C175" t="s">
        <v>745</v>
      </c>
      <c r="D175" t="s">
        <v>75</v>
      </c>
      <c r="F175" t="s">
        <v>76</v>
      </c>
      <c r="G175" t="s">
        <v>26</v>
      </c>
      <c r="H175" t="s">
        <v>27</v>
      </c>
      <c r="I175" t="s">
        <v>28</v>
      </c>
      <c r="J175" t="s">
        <v>29</v>
      </c>
      <c r="K175" t="s">
        <v>30</v>
      </c>
      <c r="L175" t="s">
        <v>31</v>
      </c>
      <c r="M175" t="s">
        <v>32</v>
      </c>
      <c r="N175" t="s">
        <v>32</v>
      </c>
      <c r="O175" t="s">
        <v>32</v>
      </c>
      <c r="P175" t="s">
        <v>33</v>
      </c>
      <c r="Q175" t="s">
        <v>746</v>
      </c>
      <c r="R175" s="3">
        <v>15</v>
      </c>
      <c r="S175" t="s">
        <v>32</v>
      </c>
      <c r="T175" s="1">
        <v>45015.532847222225</v>
      </c>
      <c r="U175" s="1">
        <v>45428.719907407409</v>
      </c>
      <c r="V175" s="2" t="s">
        <v>747</v>
      </c>
    </row>
    <row r="176" spans="1:22" x14ac:dyDescent="0.45">
      <c r="A176" t="s">
        <v>712</v>
      </c>
      <c r="B176" t="s">
        <v>22</v>
      </c>
      <c r="C176" t="s">
        <v>748</v>
      </c>
      <c r="D176" t="s">
        <v>80</v>
      </c>
      <c r="F176" t="s">
        <v>71</v>
      </c>
      <c r="G176" t="s">
        <v>26</v>
      </c>
      <c r="H176" t="s">
        <v>27</v>
      </c>
      <c r="I176" t="s">
        <v>28</v>
      </c>
      <c r="J176" t="s">
        <v>29</v>
      </c>
      <c r="K176" t="s">
        <v>30</v>
      </c>
      <c r="L176" t="s">
        <v>31</v>
      </c>
      <c r="M176" t="s">
        <v>32</v>
      </c>
      <c r="N176" t="s">
        <v>32</v>
      </c>
      <c r="O176" t="s">
        <v>32</v>
      </c>
      <c r="P176" t="s">
        <v>33</v>
      </c>
      <c r="Q176" t="s">
        <v>749</v>
      </c>
      <c r="R176" s="3">
        <v>10</v>
      </c>
      <c r="S176" t="s">
        <v>32</v>
      </c>
      <c r="T176" s="1">
        <v>45015.532847222225</v>
      </c>
      <c r="U176" s="1">
        <v>45428.71837962963</v>
      </c>
      <c r="V176" s="2" t="s">
        <v>750</v>
      </c>
    </row>
    <row r="177" spans="1:22" x14ac:dyDescent="0.45">
      <c r="A177" t="s">
        <v>712</v>
      </c>
      <c r="B177" t="s">
        <v>22</v>
      </c>
      <c r="C177" t="s">
        <v>751</v>
      </c>
      <c r="D177" t="s">
        <v>84</v>
      </c>
      <c r="F177" t="s">
        <v>85</v>
      </c>
      <c r="G177" t="s">
        <v>26</v>
      </c>
      <c r="H177" t="s">
        <v>27</v>
      </c>
      <c r="I177" t="s">
        <v>28</v>
      </c>
      <c r="J177" t="s">
        <v>29</v>
      </c>
      <c r="K177" t="s">
        <v>30</v>
      </c>
      <c r="L177" t="s">
        <v>31</v>
      </c>
      <c r="M177" t="s">
        <v>32</v>
      </c>
      <c r="N177" t="s">
        <v>32</v>
      </c>
      <c r="O177" t="s">
        <v>32</v>
      </c>
      <c r="P177" t="s">
        <v>33</v>
      </c>
      <c r="Q177" t="s">
        <v>752</v>
      </c>
      <c r="R177" s="3">
        <v>3</v>
      </c>
      <c r="S177" t="s">
        <v>32</v>
      </c>
      <c r="T177" s="1">
        <v>45015.532847222225</v>
      </c>
      <c r="U177" s="1">
        <v>45428.720671296294</v>
      </c>
      <c r="V177" s="2" t="s">
        <v>753</v>
      </c>
    </row>
    <row r="178" spans="1:22" x14ac:dyDescent="0.45">
      <c r="A178" t="s">
        <v>712</v>
      </c>
      <c r="B178" t="s">
        <v>22</v>
      </c>
      <c r="C178" t="s">
        <v>754</v>
      </c>
      <c r="D178" t="s">
        <v>89</v>
      </c>
      <c r="F178" t="s">
        <v>85</v>
      </c>
      <c r="G178" t="s">
        <v>26</v>
      </c>
      <c r="H178" t="s">
        <v>27</v>
      </c>
      <c r="I178" t="s">
        <v>28</v>
      </c>
      <c r="J178" t="s">
        <v>29</v>
      </c>
      <c r="K178" t="s">
        <v>30</v>
      </c>
      <c r="L178" t="s">
        <v>31</v>
      </c>
      <c r="M178" t="s">
        <v>32</v>
      </c>
      <c r="N178" t="s">
        <v>32</v>
      </c>
      <c r="O178" t="s">
        <v>32</v>
      </c>
      <c r="P178" t="s">
        <v>33</v>
      </c>
      <c r="Q178" t="s">
        <v>755</v>
      </c>
      <c r="R178" s="3">
        <v>3</v>
      </c>
      <c r="S178" t="s">
        <v>32</v>
      </c>
      <c r="T178" s="1">
        <v>45015.532858796294</v>
      </c>
      <c r="U178" s="1">
        <v>45428.720671296294</v>
      </c>
      <c r="V178" s="2" t="s">
        <v>756</v>
      </c>
    </row>
    <row r="179" spans="1:22" x14ac:dyDescent="0.45">
      <c r="A179" t="s">
        <v>712</v>
      </c>
      <c r="B179" t="s">
        <v>22</v>
      </c>
      <c r="C179" t="s">
        <v>757</v>
      </c>
      <c r="D179" t="s">
        <v>93</v>
      </c>
      <c r="F179" t="s">
        <v>71</v>
      </c>
      <c r="G179" t="s">
        <v>26</v>
      </c>
      <c r="H179" t="s">
        <v>27</v>
      </c>
      <c r="I179" t="s">
        <v>28</v>
      </c>
      <c r="J179" t="s">
        <v>29</v>
      </c>
      <c r="K179" t="s">
        <v>30</v>
      </c>
      <c r="L179" t="s">
        <v>31</v>
      </c>
      <c r="M179" t="s">
        <v>32</v>
      </c>
      <c r="N179" t="s">
        <v>32</v>
      </c>
      <c r="O179" t="s">
        <v>32</v>
      </c>
      <c r="P179" t="s">
        <v>33</v>
      </c>
      <c r="Q179" t="s">
        <v>758</v>
      </c>
      <c r="R179" s="3">
        <v>10</v>
      </c>
      <c r="S179" t="s">
        <v>32</v>
      </c>
      <c r="T179" s="1">
        <v>45015.532858796294</v>
      </c>
      <c r="U179" s="1">
        <v>45428.719201388885</v>
      </c>
      <c r="V179" s="2" t="s">
        <v>759</v>
      </c>
    </row>
    <row r="180" spans="1:22" x14ac:dyDescent="0.45">
      <c r="A180" t="s">
        <v>712</v>
      </c>
      <c r="B180" t="s">
        <v>22</v>
      </c>
      <c r="C180" t="s">
        <v>760</v>
      </c>
      <c r="D180" t="s">
        <v>97</v>
      </c>
      <c r="F180" t="s">
        <v>76</v>
      </c>
      <c r="G180" t="s">
        <v>26</v>
      </c>
      <c r="H180" t="s">
        <v>27</v>
      </c>
      <c r="I180" t="s">
        <v>28</v>
      </c>
      <c r="J180" t="s">
        <v>29</v>
      </c>
      <c r="K180" t="s">
        <v>30</v>
      </c>
      <c r="L180" t="s">
        <v>31</v>
      </c>
      <c r="M180" t="s">
        <v>32</v>
      </c>
      <c r="N180" t="s">
        <v>32</v>
      </c>
      <c r="O180" t="s">
        <v>32</v>
      </c>
      <c r="P180" t="s">
        <v>33</v>
      </c>
      <c r="Q180" t="s">
        <v>761</v>
      </c>
      <c r="R180" s="3">
        <v>15</v>
      </c>
      <c r="S180" t="s">
        <v>32</v>
      </c>
      <c r="T180" s="1">
        <v>45015.532858796294</v>
      </c>
      <c r="U180" s="1">
        <v>45441.490752314814</v>
      </c>
      <c r="V180" s="2" t="s">
        <v>762</v>
      </c>
    </row>
    <row r="181" spans="1:22" x14ac:dyDescent="0.45">
      <c r="A181" t="s">
        <v>712</v>
      </c>
      <c r="B181" t="s">
        <v>22</v>
      </c>
      <c r="C181" t="s">
        <v>763</v>
      </c>
      <c r="D181" t="s">
        <v>101</v>
      </c>
      <c r="F181" t="s">
        <v>102</v>
      </c>
      <c r="G181" t="s">
        <v>26</v>
      </c>
      <c r="H181" t="s">
        <v>27</v>
      </c>
      <c r="I181" t="s">
        <v>28</v>
      </c>
      <c r="J181" t="s">
        <v>29</v>
      </c>
      <c r="K181" t="s">
        <v>30</v>
      </c>
      <c r="L181" t="s">
        <v>31</v>
      </c>
      <c r="M181" t="s">
        <v>32</v>
      </c>
      <c r="N181" t="s">
        <v>32</v>
      </c>
      <c r="O181" t="s">
        <v>32</v>
      </c>
      <c r="P181" t="s">
        <v>33</v>
      </c>
      <c r="Q181" t="s">
        <v>764</v>
      </c>
      <c r="R181" s="3">
        <v>10</v>
      </c>
      <c r="S181" t="s">
        <v>32</v>
      </c>
      <c r="T181" s="1">
        <v>45015.532858796294</v>
      </c>
      <c r="U181" s="1">
        <v>45428.72111111111</v>
      </c>
      <c r="V181" s="2" t="s">
        <v>765</v>
      </c>
    </row>
    <row r="182" spans="1:22" x14ac:dyDescent="0.45">
      <c r="A182" t="s">
        <v>712</v>
      </c>
      <c r="B182" t="s">
        <v>22</v>
      </c>
      <c r="C182" t="s">
        <v>766</v>
      </c>
      <c r="D182" t="s">
        <v>767</v>
      </c>
      <c r="F182" t="s">
        <v>76</v>
      </c>
      <c r="G182" t="s">
        <v>26</v>
      </c>
      <c r="H182" t="s">
        <v>27</v>
      </c>
      <c r="I182" t="s">
        <v>28</v>
      </c>
      <c r="J182" t="s">
        <v>29</v>
      </c>
      <c r="K182" t="s">
        <v>30</v>
      </c>
      <c r="L182" t="s">
        <v>31</v>
      </c>
      <c r="M182" t="s">
        <v>32</v>
      </c>
      <c r="N182" t="s">
        <v>32</v>
      </c>
      <c r="O182" t="s">
        <v>32</v>
      </c>
      <c r="P182" t="s">
        <v>33</v>
      </c>
      <c r="Q182" t="s">
        <v>768</v>
      </c>
      <c r="R182" s="3">
        <v>3</v>
      </c>
      <c r="S182" t="s">
        <v>32</v>
      </c>
      <c r="T182" s="1">
        <v>45015.532858796294</v>
      </c>
      <c r="U182" s="1">
        <v>45428.537291666667</v>
      </c>
      <c r="V182" s="2" t="s">
        <v>769</v>
      </c>
    </row>
    <row r="183" spans="1:22" x14ac:dyDescent="0.45">
      <c r="A183" t="s">
        <v>712</v>
      </c>
      <c r="B183" t="s">
        <v>22</v>
      </c>
      <c r="C183" t="s">
        <v>770</v>
      </c>
      <c r="D183" t="s">
        <v>771</v>
      </c>
      <c r="F183" t="s">
        <v>233</v>
      </c>
      <c r="G183" t="s">
        <v>26</v>
      </c>
      <c r="H183" t="s">
        <v>27</v>
      </c>
      <c r="I183" t="s">
        <v>28</v>
      </c>
      <c r="J183" t="s">
        <v>29</v>
      </c>
      <c r="K183" t="s">
        <v>30</v>
      </c>
      <c r="L183" t="s">
        <v>31</v>
      </c>
      <c r="M183" t="s">
        <v>32</v>
      </c>
      <c r="N183" t="s">
        <v>32</v>
      </c>
      <c r="O183" t="s">
        <v>32</v>
      </c>
      <c r="P183" t="s">
        <v>33</v>
      </c>
      <c r="Q183" t="s">
        <v>772</v>
      </c>
      <c r="R183" s="3">
        <v>3</v>
      </c>
      <c r="S183" t="s">
        <v>32</v>
      </c>
      <c r="T183" s="1">
        <v>45015.532858796294</v>
      </c>
      <c r="U183" s="1">
        <v>45545.7033912037</v>
      </c>
      <c r="V183" s="2" t="s">
        <v>773</v>
      </c>
    </row>
    <row r="184" spans="1:22" x14ac:dyDescent="0.45">
      <c r="A184" t="s">
        <v>712</v>
      </c>
      <c r="B184" t="s">
        <v>22</v>
      </c>
      <c r="C184" t="s">
        <v>774</v>
      </c>
      <c r="D184" t="s">
        <v>443</v>
      </c>
      <c r="F184" t="s">
        <v>71</v>
      </c>
      <c r="G184" t="s">
        <v>26</v>
      </c>
      <c r="H184" t="s">
        <v>27</v>
      </c>
      <c r="I184" t="s">
        <v>28</v>
      </c>
      <c r="J184" t="s">
        <v>29</v>
      </c>
      <c r="K184" t="s">
        <v>30</v>
      </c>
      <c r="L184" t="s">
        <v>31</v>
      </c>
      <c r="M184" t="s">
        <v>32</v>
      </c>
      <c r="N184" t="s">
        <v>32</v>
      </c>
      <c r="O184" t="s">
        <v>32</v>
      </c>
      <c r="P184" t="s">
        <v>33</v>
      </c>
      <c r="Q184" t="s">
        <v>775</v>
      </c>
      <c r="R184" s="3">
        <v>5</v>
      </c>
      <c r="S184" t="s">
        <v>32</v>
      </c>
      <c r="T184" s="1">
        <v>45015.532858796294</v>
      </c>
      <c r="U184" s="1">
        <v>45428.721805555557</v>
      </c>
      <c r="V184" s="2" t="s">
        <v>776</v>
      </c>
    </row>
    <row r="185" spans="1:22" x14ac:dyDescent="0.45">
      <c r="A185" t="s">
        <v>712</v>
      </c>
      <c r="B185" t="s">
        <v>22</v>
      </c>
      <c r="C185" t="s">
        <v>777</v>
      </c>
      <c r="D185" t="s">
        <v>778</v>
      </c>
      <c r="F185" t="s">
        <v>25</v>
      </c>
      <c r="G185" t="s">
        <v>26</v>
      </c>
      <c r="H185" t="s">
        <v>27</v>
      </c>
      <c r="I185" t="s">
        <v>28</v>
      </c>
      <c r="J185" t="s">
        <v>29</v>
      </c>
      <c r="K185" t="s">
        <v>30</v>
      </c>
      <c r="L185" t="s">
        <v>31</v>
      </c>
      <c r="M185" t="s">
        <v>32</v>
      </c>
      <c r="N185" t="s">
        <v>32</v>
      </c>
      <c r="O185" t="s">
        <v>32</v>
      </c>
      <c r="P185" t="s">
        <v>33</v>
      </c>
      <c r="Q185" t="s">
        <v>779</v>
      </c>
      <c r="R185" s="3">
        <v>22</v>
      </c>
      <c r="S185" t="s">
        <v>32</v>
      </c>
      <c r="T185" s="1">
        <v>45015.532858796294</v>
      </c>
      <c r="U185" s="1">
        <v>45436.588449074072</v>
      </c>
      <c r="V185" s="2" t="s">
        <v>780</v>
      </c>
    </row>
    <row r="186" spans="1:22" x14ac:dyDescent="0.45">
      <c r="A186" t="s">
        <v>712</v>
      </c>
      <c r="B186" t="s">
        <v>22</v>
      </c>
      <c r="C186" t="s">
        <v>781</v>
      </c>
      <c r="D186" t="s">
        <v>782</v>
      </c>
      <c r="F186" t="s">
        <v>25</v>
      </c>
      <c r="G186" t="s">
        <v>26</v>
      </c>
      <c r="H186" t="s">
        <v>27</v>
      </c>
      <c r="I186" t="s">
        <v>28</v>
      </c>
      <c r="J186" t="s">
        <v>29</v>
      </c>
      <c r="K186" t="s">
        <v>30</v>
      </c>
      <c r="L186" t="s">
        <v>31</v>
      </c>
      <c r="M186" t="s">
        <v>32</v>
      </c>
      <c r="N186" t="s">
        <v>32</v>
      </c>
      <c r="O186" t="s">
        <v>32</v>
      </c>
      <c r="P186" t="s">
        <v>33</v>
      </c>
      <c r="Q186" t="s">
        <v>783</v>
      </c>
      <c r="R186" s="3">
        <v>15</v>
      </c>
      <c r="S186" t="s">
        <v>32</v>
      </c>
      <c r="T186" s="1">
        <v>45015.532858796294</v>
      </c>
      <c r="U186" s="1">
        <v>45551.62736111111</v>
      </c>
      <c r="V186" s="2" t="s">
        <v>784</v>
      </c>
    </row>
    <row r="187" spans="1:22" x14ac:dyDescent="0.45">
      <c r="A187" t="s">
        <v>712</v>
      </c>
      <c r="B187" t="s">
        <v>22</v>
      </c>
      <c r="C187" t="s">
        <v>785</v>
      </c>
      <c r="D187" t="s">
        <v>786</v>
      </c>
      <c r="F187" t="s">
        <v>25</v>
      </c>
      <c r="G187" t="s">
        <v>26</v>
      </c>
      <c r="H187" t="s">
        <v>27</v>
      </c>
      <c r="I187" t="s">
        <v>28</v>
      </c>
      <c r="J187" t="s">
        <v>29</v>
      </c>
      <c r="K187" t="s">
        <v>30</v>
      </c>
      <c r="L187" t="s">
        <v>31</v>
      </c>
      <c r="M187" t="s">
        <v>32</v>
      </c>
      <c r="N187" t="s">
        <v>32</v>
      </c>
      <c r="O187" t="s">
        <v>32</v>
      </c>
      <c r="P187" t="s">
        <v>33</v>
      </c>
      <c r="Q187" t="s">
        <v>787</v>
      </c>
      <c r="R187" s="3" t="s">
        <v>32</v>
      </c>
      <c r="S187" t="s">
        <v>32</v>
      </c>
      <c r="T187" s="1">
        <v>45015.532858796294</v>
      </c>
      <c r="U187" s="1">
        <v>45423.723657407405</v>
      </c>
      <c r="V187" s="2" t="s">
        <v>788</v>
      </c>
    </row>
    <row r="188" spans="1:22" x14ac:dyDescent="0.45">
      <c r="A188" t="s">
        <v>712</v>
      </c>
      <c r="B188" t="s">
        <v>22</v>
      </c>
      <c r="C188" t="s">
        <v>789</v>
      </c>
      <c r="D188" t="s">
        <v>142</v>
      </c>
      <c r="F188" t="s">
        <v>25</v>
      </c>
      <c r="G188" t="s">
        <v>26</v>
      </c>
      <c r="H188" t="s">
        <v>27</v>
      </c>
      <c r="I188" t="s">
        <v>28</v>
      </c>
      <c r="J188" t="s">
        <v>29</v>
      </c>
      <c r="K188" t="s">
        <v>30</v>
      </c>
      <c r="L188" t="s">
        <v>31</v>
      </c>
      <c r="M188" t="s">
        <v>32</v>
      </c>
      <c r="N188" t="s">
        <v>32</v>
      </c>
      <c r="O188" t="s">
        <v>32</v>
      </c>
      <c r="P188" t="s">
        <v>33</v>
      </c>
      <c r="Q188" t="s">
        <v>790</v>
      </c>
      <c r="R188" s="3">
        <v>3</v>
      </c>
      <c r="S188" t="s">
        <v>32</v>
      </c>
      <c r="T188" s="1">
        <v>45015.532858796294</v>
      </c>
      <c r="U188" s="1">
        <v>45428.723020833335</v>
      </c>
      <c r="V188" s="2" t="s">
        <v>791</v>
      </c>
    </row>
    <row r="189" spans="1:22" x14ac:dyDescent="0.45">
      <c r="A189" t="s">
        <v>712</v>
      </c>
      <c r="B189" t="s">
        <v>22</v>
      </c>
      <c r="C189" t="s">
        <v>792</v>
      </c>
      <c r="D189" t="s">
        <v>150</v>
      </c>
      <c r="F189" t="s">
        <v>25</v>
      </c>
      <c r="G189" t="s">
        <v>26</v>
      </c>
      <c r="H189" t="s">
        <v>27</v>
      </c>
      <c r="I189" t="s">
        <v>28</v>
      </c>
      <c r="J189" t="s">
        <v>29</v>
      </c>
      <c r="K189" t="s">
        <v>30</v>
      </c>
      <c r="L189" t="s">
        <v>31</v>
      </c>
      <c r="M189" t="s">
        <v>32</v>
      </c>
      <c r="N189" t="s">
        <v>32</v>
      </c>
      <c r="O189" t="s">
        <v>32</v>
      </c>
      <c r="P189" t="s">
        <v>33</v>
      </c>
      <c r="Q189" t="s">
        <v>793</v>
      </c>
      <c r="R189" s="3">
        <v>10</v>
      </c>
      <c r="S189" t="s">
        <v>32</v>
      </c>
      <c r="T189" s="1">
        <v>45474.640960648147</v>
      </c>
      <c r="U189" s="1">
        <v>45483.535613425927</v>
      </c>
      <c r="V189" s="2" t="s">
        <v>794</v>
      </c>
    </row>
    <row r="190" spans="1:22" x14ac:dyDescent="0.45">
      <c r="A190" t="s">
        <v>712</v>
      </c>
      <c r="B190" t="s">
        <v>22</v>
      </c>
      <c r="C190" t="s">
        <v>795</v>
      </c>
      <c r="D190" t="s">
        <v>796</v>
      </c>
      <c r="F190" t="s">
        <v>25</v>
      </c>
      <c r="G190" t="s">
        <v>26</v>
      </c>
      <c r="H190" t="s">
        <v>27</v>
      </c>
      <c r="I190" t="s">
        <v>28</v>
      </c>
      <c r="J190" t="s">
        <v>29</v>
      </c>
      <c r="K190" t="s">
        <v>30</v>
      </c>
      <c r="L190" t="s">
        <v>31</v>
      </c>
      <c r="M190" t="s">
        <v>32</v>
      </c>
      <c r="N190" t="s">
        <v>32</v>
      </c>
      <c r="O190" t="s">
        <v>32</v>
      </c>
      <c r="P190" t="s">
        <v>33</v>
      </c>
      <c r="Q190" t="s">
        <v>797</v>
      </c>
      <c r="R190" s="3" t="s">
        <v>32</v>
      </c>
      <c r="S190" t="s">
        <v>32</v>
      </c>
      <c r="T190" s="1">
        <v>45015.532858796294</v>
      </c>
      <c r="U190" s="1">
        <v>45423.724120370367</v>
      </c>
      <c r="V190" s="2" t="s">
        <v>798</v>
      </c>
    </row>
    <row r="191" spans="1:22" x14ac:dyDescent="0.45">
      <c r="A191" t="s">
        <v>712</v>
      </c>
      <c r="B191" t="s">
        <v>22</v>
      </c>
      <c r="C191" t="s">
        <v>799</v>
      </c>
      <c r="D191" t="s">
        <v>154</v>
      </c>
      <c r="F191" t="s">
        <v>25</v>
      </c>
      <c r="G191" t="s">
        <v>26</v>
      </c>
      <c r="H191" t="s">
        <v>27</v>
      </c>
      <c r="I191" t="s">
        <v>28</v>
      </c>
      <c r="J191" t="s">
        <v>29</v>
      </c>
      <c r="K191" t="s">
        <v>30</v>
      </c>
      <c r="L191" t="s">
        <v>31</v>
      </c>
      <c r="M191" t="s">
        <v>32</v>
      </c>
      <c r="N191" t="s">
        <v>32</v>
      </c>
      <c r="O191" t="s">
        <v>32</v>
      </c>
      <c r="P191" t="s">
        <v>33</v>
      </c>
      <c r="Q191" t="s">
        <v>800</v>
      </c>
      <c r="R191" s="3">
        <v>3</v>
      </c>
      <c r="S191" t="s">
        <v>32</v>
      </c>
      <c r="T191" s="1">
        <v>45015.532858796294</v>
      </c>
      <c r="U191" s="1">
        <v>45441.488159722219</v>
      </c>
      <c r="V191" s="2" t="s">
        <v>801</v>
      </c>
    </row>
    <row r="192" spans="1:22" x14ac:dyDescent="0.45">
      <c r="A192" t="s">
        <v>712</v>
      </c>
      <c r="B192" t="s">
        <v>22</v>
      </c>
      <c r="C192" t="s">
        <v>802</v>
      </c>
      <c r="D192" t="s">
        <v>158</v>
      </c>
      <c r="F192" t="s">
        <v>25</v>
      </c>
      <c r="G192" t="s">
        <v>26</v>
      </c>
      <c r="H192" t="s">
        <v>27</v>
      </c>
      <c r="I192" t="s">
        <v>28</v>
      </c>
      <c r="J192" t="s">
        <v>29</v>
      </c>
      <c r="K192" t="s">
        <v>30</v>
      </c>
      <c r="L192" t="s">
        <v>31</v>
      </c>
      <c r="M192" t="s">
        <v>32</v>
      </c>
      <c r="N192" t="s">
        <v>32</v>
      </c>
      <c r="O192" t="s">
        <v>32</v>
      </c>
      <c r="P192" t="s">
        <v>33</v>
      </c>
      <c r="Q192" t="s">
        <v>803</v>
      </c>
      <c r="R192" s="3">
        <v>3</v>
      </c>
      <c r="S192" t="s">
        <v>32</v>
      </c>
      <c r="T192" s="1">
        <v>45015.532858796294</v>
      </c>
      <c r="U192" s="1">
        <v>45428.722060185188</v>
      </c>
      <c r="V192" s="2" t="s">
        <v>804</v>
      </c>
    </row>
    <row r="193" spans="1:22" x14ac:dyDescent="0.45">
      <c r="A193" t="s">
        <v>712</v>
      </c>
      <c r="B193" t="s">
        <v>22</v>
      </c>
      <c r="C193" t="s">
        <v>805</v>
      </c>
      <c r="D193" t="s">
        <v>162</v>
      </c>
      <c r="F193" t="s">
        <v>25</v>
      </c>
      <c r="G193" t="s">
        <v>26</v>
      </c>
      <c r="H193" t="s">
        <v>27</v>
      </c>
      <c r="I193" t="s">
        <v>28</v>
      </c>
      <c r="J193" t="s">
        <v>29</v>
      </c>
      <c r="K193" t="s">
        <v>30</v>
      </c>
      <c r="L193" t="s">
        <v>31</v>
      </c>
      <c r="M193" t="s">
        <v>32</v>
      </c>
      <c r="N193" t="s">
        <v>32</v>
      </c>
      <c r="O193" t="s">
        <v>32</v>
      </c>
      <c r="P193" t="s">
        <v>33</v>
      </c>
      <c r="Q193" t="s">
        <v>806</v>
      </c>
      <c r="R193" s="3">
        <v>5</v>
      </c>
      <c r="S193" t="s">
        <v>32</v>
      </c>
      <c r="T193" s="1">
        <v>45015.532858796294</v>
      </c>
      <c r="U193" s="1">
        <v>45428.723946759259</v>
      </c>
      <c r="V193" s="2" t="s">
        <v>807</v>
      </c>
    </row>
    <row r="194" spans="1:22" x14ac:dyDescent="0.45">
      <c r="A194" t="s">
        <v>712</v>
      </c>
      <c r="B194" t="s">
        <v>22</v>
      </c>
      <c r="C194" t="s">
        <v>808</v>
      </c>
      <c r="D194" t="s">
        <v>469</v>
      </c>
      <c r="F194" t="s">
        <v>71</v>
      </c>
      <c r="G194" t="s">
        <v>26</v>
      </c>
      <c r="H194" t="s">
        <v>27</v>
      </c>
      <c r="I194" t="s">
        <v>28</v>
      </c>
      <c r="J194" t="s">
        <v>29</v>
      </c>
      <c r="K194" t="s">
        <v>30</v>
      </c>
      <c r="L194" t="s">
        <v>31</v>
      </c>
      <c r="M194" t="s">
        <v>32</v>
      </c>
      <c r="N194" t="s">
        <v>32</v>
      </c>
      <c r="O194" t="s">
        <v>32</v>
      </c>
      <c r="P194" t="s">
        <v>33</v>
      </c>
      <c r="Q194" t="s">
        <v>809</v>
      </c>
      <c r="R194" s="3">
        <v>10</v>
      </c>
      <c r="S194" t="s">
        <v>32</v>
      </c>
      <c r="T194" s="1">
        <v>45015.532858796294</v>
      </c>
      <c r="U194" s="1">
        <v>45441.490104166667</v>
      </c>
      <c r="V194" s="2" t="s">
        <v>810</v>
      </c>
    </row>
    <row r="195" spans="1:22" x14ac:dyDescent="0.45">
      <c r="A195" t="s">
        <v>712</v>
      </c>
      <c r="B195" t="s">
        <v>22</v>
      </c>
      <c r="C195" t="s">
        <v>811</v>
      </c>
      <c r="D195" t="s">
        <v>166</v>
      </c>
      <c r="F195" t="s">
        <v>25</v>
      </c>
      <c r="G195" t="s">
        <v>26</v>
      </c>
      <c r="H195" t="s">
        <v>27</v>
      </c>
      <c r="I195" t="s">
        <v>28</v>
      </c>
      <c r="J195" t="s">
        <v>29</v>
      </c>
      <c r="K195" t="s">
        <v>30</v>
      </c>
      <c r="L195" t="s">
        <v>31</v>
      </c>
      <c r="M195" t="s">
        <v>32</v>
      </c>
      <c r="N195" t="s">
        <v>32</v>
      </c>
      <c r="O195" t="s">
        <v>32</v>
      </c>
      <c r="P195" t="s">
        <v>33</v>
      </c>
      <c r="Q195" t="s">
        <v>812</v>
      </c>
      <c r="R195" s="3">
        <v>3</v>
      </c>
      <c r="S195" t="s">
        <v>32</v>
      </c>
      <c r="T195" s="1">
        <v>45015.532858796294</v>
      </c>
      <c r="U195" s="1">
        <v>45428.537361111114</v>
      </c>
      <c r="V195" s="2" t="s">
        <v>813</v>
      </c>
    </row>
    <row r="196" spans="1:22" x14ac:dyDescent="0.45">
      <c r="A196" t="s">
        <v>712</v>
      </c>
      <c r="B196" t="s">
        <v>22</v>
      </c>
      <c r="C196" t="s">
        <v>814</v>
      </c>
      <c r="D196" t="s">
        <v>170</v>
      </c>
      <c r="F196" t="s">
        <v>25</v>
      </c>
      <c r="G196" t="s">
        <v>26</v>
      </c>
      <c r="H196" t="s">
        <v>27</v>
      </c>
      <c r="I196" t="s">
        <v>28</v>
      </c>
      <c r="J196" t="s">
        <v>29</v>
      </c>
      <c r="K196" t="s">
        <v>30</v>
      </c>
      <c r="L196" t="s">
        <v>31</v>
      </c>
      <c r="M196" t="s">
        <v>32</v>
      </c>
      <c r="N196" t="s">
        <v>32</v>
      </c>
      <c r="O196" t="s">
        <v>32</v>
      </c>
      <c r="P196" t="s">
        <v>33</v>
      </c>
      <c r="Q196" t="s">
        <v>815</v>
      </c>
      <c r="R196" s="3">
        <v>15</v>
      </c>
      <c r="S196" t="s">
        <v>32</v>
      </c>
      <c r="T196" s="1">
        <v>45015.532870370371</v>
      </c>
      <c r="U196" s="1">
        <v>45441.48883101852</v>
      </c>
      <c r="V196" s="2" t="s">
        <v>816</v>
      </c>
    </row>
    <row r="197" spans="1:22" x14ac:dyDescent="0.45">
      <c r="A197" t="s">
        <v>712</v>
      </c>
      <c r="B197" t="s">
        <v>22</v>
      </c>
      <c r="C197" t="s">
        <v>817</v>
      </c>
      <c r="D197" t="s">
        <v>174</v>
      </c>
      <c r="F197" t="s">
        <v>25</v>
      </c>
      <c r="G197" t="s">
        <v>26</v>
      </c>
      <c r="H197" t="s">
        <v>27</v>
      </c>
      <c r="I197" t="s">
        <v>28</v>
      </c>
      <c r="J197" t="s">
        <v>29</v>
      </c>
      <c r="K197" t="s">
        <v>30</v>
      </c>
      <c r="L197" t="s">
        <v>31</v>
      </c>
      <c r="M197" t="s">
        <v>32</v>
      </c>
      <c r="N197" t="s">
        <v>32</v>
      </c>
      <c r="O197" t="s">
        <v>32</v>
      </c>
      <c r="P197" t="s">
        <v>33</v>
      </c>
      <c r="Q197" t="s">
        <v>818</v>
      </c>
      <c r="R197" s="3">
        <v>15</v>
      </c>
      <c r="S197" t="s">
        <v>32</v>
      </c>
      <c r="T197" s="1">
        <v>45015.532870370371</v>
      </c>
      <c r="U197" s="1">
        <v>45441.489421296297</v>
      </c>
      <c r="V197" s="2" t="s">
        <v>819</v>
      </c>
    </row>
    <row r="198" spans="1:22" x14ac:dyDescent="0.45">
      <c r="A198" t="s">
        <v>712</v>
      </c>
      <c r="B198" t="s">
        <v>22</v>
      </c>
      <c r="C198" t="s">
        <v>820</v>
      </c>
      <c r="D198" t="s">
        <v>821</v>
      </c>
      <c r="F198" t="s">
        <v>71</v>
      </c>
      <c r="G198" t="s">
        <v>26</v>
      </c>
      <c r="H198" t="s">
        <v>27</v>
      </c>
      <c r="I198" t="s">
        <v>28</v>
      </c>
      <c r="J198" t="s">
        <v>29</v>
      </c>
      <c r="K198" t="s">
        <v>30</v>
      </c>
      <c r="L198" t="s">
        <v>31</v>
      </c>
      <c r="M198" t="s">
        <v>32</v>
      </c>
      <c r="N198" t="s">
        <v>32</v>
      </c>
      <c r="O198" t="s">
        <v>32</v>
      </c>
      <c r="P198" t="s">
        <v>33</v>
      </c>
      <c r="Q198" t="s">
        <v>822</v>
      </c>
      <c r="R198" s="3" t="s">
        <v>32</v>
      </c>
      <c r="S198" t="s">
        <v>32</v>
      </c>
      <c r="T198" s="1">
        <v>45545.631226851852</v>
      </c>
      <c r="U198" s="1">
        <v>45545.675983796296</v>
      </c>
      <c r="V198" s="2" t="s">
        <v>823</v>
      </c>
    </row>
    <row r="199" spans="1:22" x14ac:dyDescent="0.45">
      <c r="A199" t="s">
        <v>712</v>
      </c>
      <c r="B199" t="s">
        <v>22</v>
      </c>
      <c r="C199" t="s">
        <v>824</v>
      </c>
      <c r="D199" t="s">
        <v>825</v>
      </c>
      <c r="F199" t="s">
        <v>71</v>
      </c>
      <c r="G199" t="s">
        <v>26</v>
      </c>
      <c r="H199" t="s">
        <v>27</v>
      </c>
      <c r="I199" t="s">
        <v>28</v>
      </c>
      <c r="J199" t="s">
        <v>29</v>
      </c>
      <c r="K199" t="s">
        <v>30</v>
      </c>
      <c r="L199" t="s">
        <v>31</v>
      </c>
      <c r="M199" t="s">
        <v>32</v>
      </c>
      <c r="N199" t="s">
        <v>32</v>
      </c>
      <c r="O199" t="s">
        <v>32</v>
      </c>
      <c r="P199" t="s">
        <v>33</v>
      </c>
      <c r="Q199" t="s">
        <v>826</v>
      </c>
      <c r="R199" s="3" t="s">
        <v>32</v>
      </c>
      <c r="S199" t="s">
        <v>32</v>
      </c>
      <c r="T199" s="1">
        <v>45545.631226851852</v>
      </c>
      <c r="U199" s="1">
        <v>45545.67628472222</v>
      </c>
      <c r="V199" s="2" t="s">
        <v>827</v>
      </c>
    </row>
    <row r="200" spans="1:22" x14ac:dyDescent="0.45">
      <c r="A200" t="s">
        <v>712</v>
      </c>
      <c r="B200" t="s">
        <v>22</v>
      </c>
      <c r="C200" t="s">
        <v>828</v>
      </c>
      <c r="D200" t="s">
        <v>829</v>
      </c>
      <c r="F200" t="s">
        <v>76</v>
      </c>
      <c r="G200" t="s">
        <v>26</v>
      </c>
      <c r="H200" t="s">
        <v>27</v>
      </c>
      <c r="I200" t="s">
        <v>28</v>
      </c>
      <c r="J200" t="s">
        <v>29</v>
      </c>
      <c r="K200" t="s">
        <v>30</v>
      </c>
      <c r="L200" t="s">
        <v>31</v>
      </c>
      <c r="M200" t="s">
        <v>32</v>
      </c>
      <c r="N200" t="s">
        <v>32</v>
      </c>
      <c r="O200" t="s">
        <v>32</v>
      </c>
      <c r="P200" t="s">
        <v>33</v>
      </c>
      <c r="Q200" t="s">
        <v>830</v>
      </c>
      <c r="R200" s="3">
        <v>10</v>
      </c>
      <c r="S200" t="s">
        <v>32</v>
      </c>
      <c r="T200" s="1">
        <v>45551.658773148149</v>
      </c>
      <c r="U200" s="1">
        <v>45551.659236111111</v>
      </c>
      <c r="V200" s="2" t="s">
        <v>831</v>
      </c>
    </row>
    <row r="201" spans="1:22" x14ac:dyDescent="0.45">
      <c r="A201" t="s">
        <v>712</v>
      </c>
      <c r="B201" t="s">
        <v>22</v>
      </c>
      <c r="C201" t="s">
        <v>832</v>
      </c>
      <c r="D201" t="s">
        <v>484</v>
      </c>
      <c r="F201" t="s">
        <v>25</v>
      </c>
      <c r="G201" t="s">
        <v>26</v>
      </c>
      <c r="H201" t="s">
        <v>27</v>
      </c>
      <c r="I201" t="s">
        <v>28</v>
      </c>
      <c r="J201" t="s">
        <v>29</v>
      </c>
      <c r="K201" t="s">
        <v>30</v>
      </c>
      <c r="L201" t="s">
        <v>31</v>
      </c>
      <c r="M201" t="s">
        <v>32</v>
      </c>
      <c r="N201" t="s">
        <v>32</v>
      </c>
      <c r="O201" t="s">
        <v>32</v>
      </c>
      <c r="P201" t="s">
        <v>33</v>
      </c>
      <c r="Q201" t="s">
        <v>833</v>
      </c>
      <c r="R201" s="3">
        <v>15</v>
      </c>
      <c r="S201" t="s">
        <v>32</v>
      </c>
      <c r="T201" s="1">
        <v>45558.690833333334</v>
      </c>
      <c r="U201" s="1">
        <v>45558.691655092596</v>
      </c>
      <c r="V201" s="2" t="s">
        <v>834</v>
      </c>
    </row>
    <row r="202" spans="1:22" x14ac:dyDescent="0.45">
      <c r="A202" t="s">
        <v>712</v>
      </c>
      <c r="B202" t="s">
        <v>22</v>
      </c>
      <c r="C202" t="s">
        <v>835</v>
      </c>
      <c r="D202" t="s">
        <v>836</v>
      </c>
      <c r="F202" t="s">
        <v>71</v>
      </c>
      <c r="G202" t="s">
        <v>26</v>
      </c>
      <c r="H202" t="s">
        <v>27</v>
      </c>
      <c r="I202" t="s">
        <v>28</v>
      </c>
      <c r="J202" t="s">
        <v>29</v>
      </c>
      <c r="K202" t="s">
        <v>30</v>
      </c>
      <c r="L202" t="s">
        <v>31</v>
      </c>
      <c r="M202" t="s">
        <v>32</v>
      </c>
      <c r="N202" t="s">
        <v>32</v>
      </c>
      <c r="O202" t="s">
        <v>32</v>
      </c>
      <c r="P202" t="s">
        <v>33</v>
      </c>
      <c r="Q202" t="s">
        <v>837</v>
      </c>
      <c r="R202" s="3">
        <v>3</v>
      </c>
      <c r="S202" t="s">
        <v>32</v>
      </c>
      <c r="T202" s="1">
        <v>45545.628067129626</v>
      </c>
      <c r="U202" s="1">
        <v>45545.628067129626</v>
      </c>
      <c r="V202" s="2" t="s">
        <v>838</v>
      </c>
    </row>
    <row r="203" spans="1:22" x14ac:dyDescent="0.45">
      <c r="A203" t="s">
        <v>712</v>
      </c>
      <c r="B203" t="s">
        <v>22</v>
      </c>
      <c r="C203" t="s">
        <v>839</v>
      </c>
      <c r="D203" t="s">
        <v>840</v>
      </c>
      <c r="F203" t="s">
        <v>71</v>
      </c>
      <c r="G203" t="s">
        <v>26</v>
      </c>
      <c r="H203" t="s">
        <v>27</v>
      </c>
      <c r="I203" t="s">
        <v>28</v>
      </c>
      <c r="J203" t="s">
        <v>29</v>
      </c>
      <c r="K203" t="s">
        <v>30</v>
      </c>
      <c r="L203" t="s">
        <v>31</v>
      </c>
      <c r="M203" t="s">
        <v>32</v>
      </c>
      <c r="N203" t="s">
        <v>32</v>
      </c>
      <c r="O203" t="s">
        <v>32</v>
      </c>
      <c r="P203" t="s">
        <v>33</v>
      </c>
      <c r="Q203" t="s">
        <v>841</v>
      </c>
      <c r="R203" s="3">
        <v>5</v>
      </c>
      <c r="S203" t="s">
        <v>32</v>
      </c>
      <c r="T203" s="1">
        <v>45545.630787037036</v>
      </c>
      <c r="U203" s="1">
        <v>45545.630787037036</v>
      </c>
      <c r="V203" s="2" t="s">
        <v>842</v>
      </c>
    </row>
    <row r="204" spans="1:22" x14ac:dyDescent="0.45">
      <c r="A204" t="s">
        <v>712</v>
      </c>
      <c r="B204" t="s">
        <v>22</v>
      </c>
      <c r="C204" t="s">
        <v>843</v>
      </c>
      <c r="D204" t="s">
        <v>844</v>
      </c>
      <c r="F204" t="s">
        <v>71</v>
      </c>
      <c r="G204" t="s">
        <v>26</v>
      </c>
      <c r="H204" t="s">
        <v>27</v>
      </c>
      <c r="I204" t="s">
        <v>28</v>
      </c>
      <c r="J204" t="s">
        <v>29</v>
      </c>
      <c r="K204" t="s">
        <v>30</v>
      </c>
      <c r="L204" t="s">
        <v>31</v>
      </c>
      <c r="M204" t="s">
        <v>32</v>
      </c>
      <c r="N204" t="s">
        <v>32</v>
      </c>
      <c r="O204" t="s">
        <v>32</v>
      </c>
      <c r="P204" t="s">
        <v>33</v>
      </c>
      <c r="Q204" t="s">
        <v>845</v>
      </c>
      <c r="R204" s="3">
        <v>3</v>
      </c>
      <c r="S204" t="s">
        <v>32</v>
      </c>
      <c r="T204" s="1">
        <v>45551.660474537035</v>
      </c>
      <c r="U204" s="1">
        <v>45551.660474537035</v>
      </c>
      <c r="V204" s="2" t="s">
        <v>846</v>
      </c>
    </row>
    <row r="205" spans="1:22" x14ac:dyDescent="0.45">
      <c r="A205" t="s">
        <v>712</v>
      </c>
      <c r="B205" t="s">
        <v>213</v>
      </c>
      <c r="C205" t="s">
        <v>847</v>
      </c>
      <c r="D205" t="s">
        <v>215</v>
      </c>
      <c r="F205" t="s">
        <v>76</v>
      </c>
      <c r="G205" t="s">
        <v>26</v>
      </c>
      <c r="H205" t="s">
        <v>27</v>
      </c>
      <c r="I205" t="s">
        <v>28</v>
      </c>
      <c r="J205" t="s">
        <v>216</v>
      </c>
      <c r="K205" t="s">
        <v>30</v>
      </c>
      <c r="L205" t="s">
        <v>31</v>
      </c>
      <c r="M205" t="s">
        <v>32</v>
      </c>
      <c r="N205" t="s">
        <v>32</v>
      </c>
      <c r="O205" t="s">
        <v>32</v>
      </c>
      <c r="P205" t="s">
        <v>33</v>
      </c>
      <c r="Q205" t="s">
        <v>848</v>
      </c>
      <c r="R205" s="3">
        <v>10</v>
      </c>
      <c r="S205" t="s">
        <v>32</v>
      </c>
      <c r="T205" s="1">
        <v>45015.532870370371</v>
      </c>
      <c r="U205" s="1">
        <v>45551.611886574072</v>
      </c>
      <c r="V205" s="2" t="s">
        <v>849</v>
      </c>
    </row>
    <row r="206" spans="1:22" x14ac:dyDescent="0.45">
      <c r="A206" t="s">
        <v>712</v>
      </c>
      <c r="B206" t="s">
        <v>213</v>
      </c>
      <c r="C206" t="s">
        <v>850</v>
      </c>
      <c r="D206" t="s">
        <v>220</v>
      </c>
      <c r="F206" t="s">
        <v>76</v>
      </c>
      <c r="G206" t="s">
        <v>26</v>
      </c>
      <c r="H206" t="s">
        <v>27</v>
      </c>
      <c r="I206" t="s">
        <v>28</v>
      </c>
      <c r="J206" t="s">
        <v>216</v>
      </c>
      <c r="K206" t="s">
        <v>30</v>
      </c>
      <c r="L206" t="s">
        <v>31</v>
      </c>
      <c r="M206" t="s">
        <v>32</v>
      </c>
      <c r="N206" t="s">
        <v>32</v>
      </c>
      <c r="O206" t="s">
        <v>32</v>
      </c>
      <c r="P206" t="s">
        <v>33</v>
      </c>
      <c r="Q206" t="s">
        <v>851</v>
      </c>
      <c r="R206" s="3" t="s">
        <v>32</v>
      </c>
      <c r="S206" t="s">
        <v>32</v>
      </c>
      <c r="T206" s="1">
        <v>45441.482187499998</v>
      </c>
      <c r="U206" s="1">
        <v>45441.482488425929</v>
      </c>
      <c r="V206" s="2" t="s">
        <v>852</v>
      </c>
    </row>
    <row r="207" spans="1:22" x14ac:dyDescent="0.45">
      <c r="A207" t="s">
        <v>712</v>
      </c>
      <c r="B207" t="s">
        <v>213</v>
      </c>
      <c r="C207" t="s">
        <v>853</v>
      </c>
      <c r="D207" t="s">
        <v>228</v>
      </c>
      <c r="F207" t="s">
        <v>56</v>
      </c>
      <c r="G207" t="s">
        <v>26</v>
      </c>
      <c r="H207" t="s">
        <v>27</v>
      </c>
      <c r="I207" t="s">
        <v>28</v>
      </c>
      <c r="J207" t="s">
        <v>216</v>
      </c>
      <c r="K207" t="s">
        <v>30</v>
      </c>
      <c r="L207" t="s">
        <v>31</v>
      </c>
      <c r="M207" t="s">
        <v>32</v>
      </c>
      <c r="N207" t="s">
        <v>32</v>
      </c>
      <c r="O207" t="s">
        <v>32</v>
      </c>
      <c r="P207" t="s">
        <v>33</v>
      </c>
      <c r="Q207" t="s">
        <v>854</v>
      </c>
      <c r="R207" s="3">
        <v>5</v>
      </c>
      <c r="S207" t="s">
        <v>32</v>
      </c>
      <c r="T207" s="1">
        <v>45015.532870370371</v>
      </c>
      <c r="U207" s="1">
        <v>45441.487141203703</v>
      </c>
      <c r="V207" s="2" t="s">
        <v>855</v>
      </c>
    </row>
    <row r="208" spans="1:22" x14ac:dyDescent="0.45">
      <c r="A208" t="s">
        <v>712</v>
      </c>
      <c r="B208" t="s">
        <v>213</v>
      </c>
      <c r="C208" t="s">
        <v>856</v>
      </c>
      <c r="D208" t="s">
        <v>545</v>
      </c>
      <c r="F208" t="s">
        <v>76</v>
      </c>
      <c r="G208" t="s">
        <v>26</v>
      </c>
      <c r="H208" t="s">
        <v>27</v>
      </c>
      <c r="I208" t="s">
        <v>28</v>
      </c>
      <c r="J208" t="s">
        <v>216</v>
      </c>
      <c r="K208" t="s">
        <v>30</v>
      </c>
      <c r="L208" t="s">
        <v>31</v>
      </c>
      <c r="M208" t="s">
        <v>32</v>
      </c>
      <c r="N208" t="s">
        <v>32</v>
      </c>
      <c r="O208" t="s">
        <v>32</v>
      </c>
      <c r="P208" t="s">
        <v>33</v>
      </c>
      <c r="Q208" t="s">
        <v>857</v>
      </c>
      <c r="R208" s="3">
        <v>5</v>
      </c>
      <c r="S208" t="s">
        <v>32</v>
      </c>
      <c r="T208" s="1">
        <v>45015.532870370371</v>
      </c>
      <c r="U208" s="1">
        <v>45428.732349537036</v>
      </c>
      <c r="V208" s="2" t="s">
        <v>858</v>
      </c>
    </row>
    <row r="209" spans="1:22" x14ac:dyDescent="0.45">
      <c r="A209" t="s">
        <v>712</v>
      </c>
      <c r="B209" t="s">
        <v>213</v>
      </c>
      <c r="C209" t="s">
        <v>859</v>
      </c>
      <c r="D209" t="s">
        <v>860</v>
      </c>
      <c r="F209" t="s">
        <v>71</v>
      </c>
      <c r="G209" t="s">
        <v>26</v>
      </c>
      <c r="H209" t="s">
        <v>27</v>
      </c>
      <c r="I209" t="s">
        <v>28</v>
      </c>
      <c r="J209" t="s">
        <v>861</v>
      </c>
      <c r="K209" t="s">
        <v>30</v>
      </c>
      <c r="L209" t="s">
        <v>31</v>
      </c>
      <c r="M209" t="s">
        <v>32</v>
      </c>
      <c r="N209" t="s">
        <v>32</v>
      </c>
      <c r="O209" t="s">
        <v>32</v>
      </c>
      <c r="P209" t="s">
        <v>33</v>
      </c>
      <c r="Q209" t="s">
        <v>862</v>
      </c>
      <c r="R209" s="3">
        <v>10</v>
      </c>
      <c r="S209" t="s">
        <v>32</v>
      </c>
      <c r="T209" s="1">
        <v>45551.634398148148</v>
      </c>
      <c r="U209" s="1">
        <v>45551.634398148148</v>
      </c>
      <c r="V209" s="2" t="s">
        <v>863</v>
      </c>
    </row>
    <row r="210" spans="1:22" x14ac:dyDescent="0.45">
      <c r="A210" t="s">
        <v>712</v>
      </c>
      <c r="B210" t="s">
        <v>59</v>
      </c>
      <c r="C210" t="s">
        <v>864</v>
      </c>
      <c r="D210" t="s">
        <v>232</v>
      </c>
      <c r="F210" t="s">
        <v>233</v>
      </c>
      <c r="G210" t="s">
        <v>26</v>
      </c>
      <c r="H210" t="s">
        <v>62</v>
      </c>
      <c r="I210" t="s">
        <v>28</v>
      </c>
      <c r="J210" t="s">
        <v>32</v>
      </c>
      <c r="K210" t="s">
        <v>63</v>
      </c>
      <c r="L210" t="s">
        <v>64</v>
      </c>
      <c r="M210" t="s">
        <v>32</v>
      </c>
      <c r="N210" t="s">
        <v>32</v>
      </c>
      <c r="O210" t="s">
        <v>32</v>
      </c>
      <c r="P210" t="s">
        <v>32</v>
      </c>
      <c r="Q210" t="s">
        <v>865</v>
      </c>
      <c r="R210" s="3" t="s">
        <v>32</v>
      </c>
      <c r="S210" t="s">
        <v>32</v>
      </c>
      <c r="T210" s="1">
        <v>45015.532870370371</v>
      </c>
      <c r="U210" s="1">
        <v>45423.728402777779</v>
      </c>
      <c r="V210" s="2" t="s">
        <v>866</v>
      </c>
    </row>
    <row r="211" spans="1:22" x14ac:dyDescent="0.45">
      <c r="A211" t="s">
        <v>712</v>
      </c>
      <c r="B211" t="s">
        <v>59</v>
      </c>
      <c r="C211" t="s">
        <v>867</v>
      </c>
      <c r="D211" t="s">
        <v>237</v>
      </c>
      <c r="F211" t="s">
        <v>233</v>
      </c>
      <c r="G211" t="s">
        <v>26</v>
      </c>
      <c r="H211" t="s">
        <v>62</v>
      </c>
      <c r="I211" t="s">
        <v>28</v>
      </c>
      <c r="J211" t="s">
        <v>32</v>
      </c>
      <c r="K211" t="s">
        <v>63</v>
      </c>
      <c r="L211" t="s">
        <v>64</v>
      </c>
      <c r="M211" t="s">
        <v>32</v>
      </c>
      <c r="N211" t="s">
        <v>32</v>
      </c>
      <c r="O211" t="s">
        <v>32</v>
      </c>
      <c r="P211" t="s">
        <v>32</v>
      </c>
      <c r="Q211" t="s">
        <v>868</v>
      </c>
      <c r="R211" s="3" t="s">
        <v>32</v>
      </c>
      <c r="S211" t="s">
        <v>32</v>
      </c>
      <c r="T211" s="1">
        <v>45015.532870370371</v>
      </c>
      <c r="U211" s="1">
        <v>45423.72892361111</v>
      </c>
      <c r="V211" s="2" t="s">
        <v>869</v>
      </c>
    </row>
    <row r="212" spans="1:22" x14ac:dyDescent="0.45">
      <c r="A212" t="s">
        <v>712</v>
      </c>
      <c r="B212" t="s">
        <v>59</v>
      </c>
      <c r="C212" t="s">
        <v>870</v>
      </c>
      <c r="D212" t="s">
        <v>241</v>
      </c>
      <c r="F212" t="s">
        <v>102</v>
      </c>
      <c r="G212" t="s">
        <v>26</v>
      </c>
      <c r="H212" t="s">
        <v>62</v>
      </c>
      <c r="I212" t="s">
        <v>28</v>
      </c>
      <c r="J212" t="s">
        <v>32</v>
      </c>
      <c r="K212" t="s">
        <v>63</v>
      </c>
      <c r="L212" t="s">
        <v>64</v>
      </c>
      <c r="M212" t="s">
        <v>32</v>
      </c>
      <c r="N212" t="s">
        <v>32</v>
      </c>
      <c r="O212" t="s">
        <v>32</v>
      </c>
      <c r="P212" t="s">
        <v>32</v>
      </c>
      <c r="Q212" t="s">
        <v>871</v>
      </c>
      <c r="R212" s="3" t="s">
        <v>32</v>
      </c>
      <c r="S212" t="s">
        <v>32</v>
      </c>
      <c r="T212" s="1">
        <v>45015.532870370371</v>
      </c>
      <c r="U212" s="1">
        <v>45423.729143518518</v>
      </c>
      <c r="V212" s="2" t="s">
        <v>872</v>
      </c>
    </row>
    <row r="213" spans="1:22" x14ac:dyDescent="0.45">
      <c r="A213" t="s">
        <v>712</v>
      </c>
      <c r="B213" t="s">
        <v>59</v>
      </c>
      <c r="C213" t="s">
        <v>873</v>
      </c>
      <c r="D213" t="s">
        <v>556</v>
      </c>
      <c r="F213" t="s">
        <v>85</v>
      </c>
      <c r="G213" t="s">
        <v>26</v>
      </c>
      <c r="H213" t="s">
        <v>62</v>
      </c>
      <c r="I213" t="s">
        <v>28</v>
      </c>
      <c r="J213" t="s">
        <v>32</v>
      </c>
      <c r="K213" t="s">
        <v>63</v>
      </c>
      <c r="L213" t="s">
        <v>64</v>
      </c>
      <c r="M213" t="s">
        <v>32</v>
      </c>
      <c r="N213" t="s">
        <v>32</v>
      </c>
      <c r="O213" t="s">
        <v>32</v>
      </c>
      <c r="P213" t="s">
        <v>32</v>
      </c>
      <c r="Q213" t="s">
        <v>874</v>
      </c>
      <c r="R213" s="3" t="s">
        <v>32</v>
      </c>
      <c r="S213" t="s">
        <v>32</v>
      </c>
      <c r="T213" s="1">
        <v>45015.532870370371</v>
      </c>
      <c r="U213" s="1">
        <v>45423.729351851849</v>
      </c>
      <c r="V213" s="2" t="s">
        <v>875</v>
      </c>
    </row>
    <row r="214" spans="1:22" x14ac:dyDescent="0.45">
      <c r="A214" t="s">
        <v>712</v>
      </c>
      <c r="B214" t="s">
        <v>59</v>
      </c>
      <c r="C214" t="s">
        <v>876</v>
      </c>
      <c r="D214" t="s">
        <v>877</v>
      </c>
      <c r="F214" t="s">
        <v>85</v>
      </c>
      <c r="G214" t="s">
        <v>26</v>
      </c>
      <c r="H214" t="s">
        <v>62</v>
      </c>
      <c r="I214" t="s">
        <v>28</v>
      </c>
      <c r="J214" t="s">
        <v>32</v>
      </c>
      <c r="K214" t="s">
        <v>63</v>
      </c>
      <c r="L214" t="s">
        <v>64</v>
      </c>
      <c r="M214" t="s">
        <v>32</v>
      </c>
      <c r="N214" t="s">
        <v>32</v>
      </c>
      <c r="O214" t="s">
        <v>32</v>
      </c>
      <c r="P214" t="s">
        <v>32</v>
      </c>
      <c r="Q214" t="s">
        <v>878</v>
      </c>
      <c r="R214" s="3" t="s">
        <v>32</v>
      </c>
      <c r="S214" t="s">
        <v>32</v>
      </c>
      <c r="T214" s="1">
        <v>45015.532870370371</v>
      </c>
      <c r="U214" s="1">
        <v>45423.729745370372</v>
      </c>
      <c r="V214" s="2" t="s">
        <v>879</v>
      </c>
    </row>
    <row r="215" spans="1:22" x14ac:dyDescent="0.45">
      <c r="A215" t="s">
        <v>712</v>
      </c>
      <c r="B215" t="s">
        <v>59</v>
      </c>
      <c r="C215" t="s">
        <v>880</v>
      </c>
      <c r="D215" t="s">
        <v>251</v>
      </c>
      <c r="F215" t="s">
        <v>85</v>
      </c>
      <c r="G215" t="s">
        <v>26</v>
      </c>
      <c r="H215" t="s">
        <v>62</v>
      </c>
      <c r="I215" t="s">
        <v>28</v>
      </c>
      <c r="J215" t="s">
        <v>32</v>
      </c>
      <c r="K215" t="s">
        <v>63</v>
      </c>
      <c r="L215" t="s">
        <v>64</v>
      </c>
      <c r="M215" t="s">
        <v>32</v>
      </c>
      <c r="N215" t="s">
        <v>32</v>
      </c>
      <c r="O215" t="s">
        <v>32</v>
      </c>
      <c r="P215" t="s">
        <v>32</v>
      </c>
      <c r="Q215" t="s">
        <v>881</v>
      </c>
      <c r="R215" s="3" t="s">
        <v>32</v>
      </c>
      <c r="S215" t="s">
        <v>32</v>
      </c>
      <c r="T215" s="1">
        <v>45015.532870370371</v>
      </c>
      <c r="U215" s="1">
        <v>45423.72997685185</v>
      </c>
      <c r="V215" s="2" t="s">
        <v>882</v>
      </c>
    </row>
    <row r="216" spans="1:22" x14ac:dyDescent="0.45">
      <c r="A216" t="s">
        <v>712</v>
      </c>
      <c r="B216" t="s">
        <v>277</v>
      </c>
      <c r="C216" t="s">
        <v>883</v>
      </c>
      <c r="D216" t="s">
        <v>279</v>
      </c>
      <c r="F216" t="s">
        <v>85</v>
      </c>
      <c r="G216" t="s">
        <v>26</v>
      </c>
      <c r="H216" t="s">
        <v>280</v>
      </c>
      <c r="I216" t="s">
        <v>281</v>
      </c>
      <c r="J216" t="s">
        <v>32</v>
      </c>
      <c r="K216" t="s">
        <v>63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884</v>
      </c>
      <c r="R216" s="3" t="s">
        <v>32</v>
      </c>
      <c r="S216" t="s">
        <v>32</v>
      </c>
      <c r="T216" s="1">
        <v>45015.532870370371</v>
      </c>
      <c r="U216" s="1">
        <v>45423.730416666665</v>
      </c>
      <c r="V216" s="2" t="s">
        <v>885</v>
      </c>
    </row>
    <row r="217" spans="1:22" x14ac:dyDescent="0.45">
      <c r="A217" t="s">
        <v>712</v>
      </c>
      <c r="B217" t="s">
        <v>284</v>
      </c>
      <c r="C217" t="s">
        <v>886</v>
      </c>
      <c r="D217" t="s">
        <v>286</v>
      </c>
      <c r="F217" t="s">
        <v>85</v>
      </c>
      <c r="G217" t="s">
        <v>188</v>
      </c>
      <c r="H217" t="s">
        <v>189</v>
      </c>
      <c r="I217" t="s">
        <v>287</v>
      </c>
      <c r="J217" t="s">
        <v>32</v>
      </c>
      <c r="K217" t="s">
        <v>63</v>
      </c>
      <c r="L217" t="s">
        <v>288</v>
      </c>
      <c r="M217" t="s">
        <v>32</v>
      </c>
      <c r="N217" t="s">
        <v>289</v>
      </c>
      <c r="O217" t="s">
        <v>290</v>
      </c>
      <c r="P217" t="s">
        <v>32</v>
      </c>
      <c r="Q217" t="s">
        <v>887</v>
      </c>
      <c r="R217" s="3" t="s">
        <v>32</v>
      </c>
      <c r="S217" t="s">
        <v>32</v>
      </c>
      <c r="T217" s="1">
        <v>45015.532870370371</v>
      </c>
      <c r="U217" s="1">
        <v>45423.733576388891</v>
      </c>
      <c r="V217" s="2" t="s">
        <v>888</v>
      </c>
    </row>
    <row r="218" spans="1:22" x14ac:dyDescent="0.45">
      <c r="A218" t="s">
        <v>712</v>
      </c>
      <c r="B218" t="s">
        <v>284</v>
      </c>
      <c r="C218" t="s">
        <v>889</v>
      </c>
      <c r="D218" t="s">
        <v>602</v>
      </c>
      <c r="F218" t="s">
        <v>85</v>
      </c>
      <c r="G218" t="s">
        <v>188</v>
      </c>
      <c r="H218" t="s">
        <v>189</v>
      </c>
      <c r="I218" t="s">
        <v>287</v>
      </c>
      <c r="J218" t="s">
        <v>32</v>
      </c>
      <c r="K218" t="s">
        <v>63</v>
      </c>
      <c r="L218" t="s">
        <v>288</v>
      </c>
      <c r="M218" t="s">
        <v>32</v>
      </c>
      <c r="N218" t="s">
        <v>289</v>
      </c>
      <c r="O218" t="s">
        <v>290</v>
      </c>
      <c r="P218" t="s">
        <v>32</v>
      </c>
      <c r="Q218" t="s">
        <v>890</v>
      </c>
      <c r="R218" s="3" t="s">
        <v>32</v>
      </c>
      <c r="S218" t="s">
        <v>32</v>
      </c>
      <c r="T218" s="1">
        <v>45474.640960648147</v>
      </c>
      <c r="U218" s="1">
        <v>45483.53570601852</v>
      </c>
      <c r="V218" s="2" t="s">
        <v>891</v>
      </c>
    </row>
    <row r="219" spans="1:22" x14ac:dyDescent="0.45">
      <c r="A219" t="s">
        <v>712</v>
      </c>
      <c r="B219" t="s">
        <v>293</v>
      </c>
      <c r="C219" t="s">
        <v>892</v>
      </c>
      <c r="D219" t="s">
        <v>295</v>
      </c>
      <c r="F219" t="s">
        <v>85</v>
      </c>
      <c r="G219" t="s">
        <v>26</v>
      </c>
      <c r="H219" t="s">
        <v>280</v>
      </c>
      <c r="I219" t="s">
        <v>281</v>
      </c>
      <c r="J219" t="s">
        <v>32</v>
      </c>
      <c r="K219" t="s">
        <v>63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t="s">
        <v>893</v>
      </c>
      <c r="R219" s="3" t="s">
        <v>32</v>
      </c>
      <c r="S219" t="s">
        <v>32</v>
      </c>
      <c r="T219" s="1">
        <v>45015.532870370371</v>
      </c>
      <c r="U219" s="1">
        <v>45423.734953703701</v>
      </c>
      <c r="V219" s="2" t="s">
        <v>894</v>
      </c>
    </row>
    <row r="220" spans="1:22" x14ac:dyDescent="0.45">
      <c r="A220" t="s">
        <v>712</v>
      </c>
      <c r="B220" t="s">
        <v>298</v>
      </c>
      <c r="C220" t="s">
        <v>895</v>
      </c>
      <c r="D220" t="s">
        <v>300</v>
      </c>
      <c r="F220" t="s">
        <v>85</v>
      </c>
      <c r="G220" t="s">
        <v>32</v>
      </c>
      <c r="H220" t="s">
        <v>32</v>
      </c>
      <c r="I220" t="s">
        <v>32</v>
      </c>
      <c r="J220" t="s">
        <v>32</v>
      </c>
      <c r="K220" t="s">
        <v>32</v>
      </c>
      <c r="L220" t="s">
        <v>302</v>
      </c>
      <c r="M220" t="s">
        <v>32</v>
      </c>
      <c r="N220" t="s">
        <v>32</v>
      </c>
      <c r="O220" t="s">
        <v>32</v>
      </c>
      <c r="P220" t="s">
        <v>32</v>
      </c>
      <c r="Q220" t="s">
        <v>896</v>
      </c>
      <c r="R220" s="3" t="s">
        <v>32</v>
      </c>
      <c r="S220" t="s">
        <v>32</v>
      </c>
      <c r="T220" s="1">
        <v>45015.532870370371</v>
      </c>
      <c r="U220" s="1">
        <v>45015.532870370371</v>
      </c>
      <c r="V220" s="2" t="s">
        <v>897</v>
      </c>
    </row>
    <row r="221" spans="1:22" x14ac:dyDescent="0.45">
      <c r="A221" t="s">
        <v>712</v>
      </c>
      <c r="B221" t="s">
        <v>298</v>
      </c>
      <c r="C221" t="s">
        <v>898</v>
      </c>
      <c r="D221" t="s">
        <v>306</v>
      </c>
      <c r="F221" t="s">
        <v>85</v>
      </c>
      <c r="G221" t="s">
        <v>32</v>
      </c>
      <c r="H221" t="s">
        <v>32</v>
      </c>
      <c r="I221" t="s">
        <v>32</v>
      </c>
      <c r="J221" t="s">
        <v>32</v>
      </c>
      <c r="K221" t="s">
        <v>32</v>
      </c>
      <c r="L221" t="s">
        <v>302</v>
      </c>
      <c r="M221" t="s">
        <v>32</v>
      </c>
      <c r="N221" t="s">
        <v>32</v>
      </c>
      <c r="O221" t="s">
        <v>32</v>
      </c>
      <c r="P221" t="s">
        <v>32</v>
      </c>
      <c r="Q221" t="s">
        <v>899</v>
      </c>
      <c r="R221" s="3" t="s">
        <v>32</v>
      </c>
      <c r="S221" t="s">
        <v>32</v>
      </c>
      <c r="T221" s="1">
        <v>45015.532870370371</v>
      </c>
      <c r="U221" s="1">
        <v>45015.532870370371</v>
      </c>
      <c r="V221" s="2" t="s">
        <v>900</v>
      </c>
    </row>
    <row r="222" spans="1:22" x14ac:dyDescent="0.45">
      <c r="A222" t="s">
        <v>712</v>
      </c>
      <c r="B222" t="s">
        <v>298</v>
      </c>
      <c r="C222" t="s">
        <v>901</v>
      </c>
      <c r="D222" t="s">
        <v>902</v>
      </c>
      <c r="F222" t="s">
        <v>85</v>
      </c>
      <c r="G222" t="s">
        <v>32</v>
      </c>
      <c r="H222" t="s">
        <v>32</v>
      </c>
      <c r="I222" t="s">
        <v>32</v>
      </c>
      <c r="J222" t="s">
        <v>32</v>
      </c>
      <c r="K222" t="s">
        <v>32</v>
      </c>
      <c r="L222" t="s">
        <v>302</v>
      </c>
      <c r="M222" t="s">
        <v>32</v>
      </c>
      <c r="N222" t="s">
        <v>32</v>
      </c>
      <c r="O222" t="s">
        <v>32</v>
      </c>
      <c r="P222" t="s">
        <v>32</v>
      </c>
      <c r="Q222" t="s">
        <v>903</v>
      </c>
      <c r="R222" s="3" t="s">
        <v>32</v>
      </c>
      <c r="S222" t="s">
        <v>32</v>
      </c>
      <c r="T222" s="1">
        <v>45015.532870370371</v>
      </c>
      <c r="U222" s="1">
        <v>45015.532870370371</v>
      </c>
      <c r="V222" s="2" t="s">
        <v>904</v>
      </c>
    </row>
    <row r="223" spans="1:22" x14ac:dyDescent="0.45">
      <c r="A223" t="s">
        <v>712</v>
      </c>
      <c r="B223" t="s">
        <v>905</v>
      </c>
      <c r="C223" t="s">
        <v>906</v>
      </c>
      <c r="D223" t="s">
        <v>907</v>
      </c>
      <c r="F223" t="s">
        <v>85</v>
      </c>
      <c r="G223" t="s">
        <v>188</v>
      </c>
      <c r="H223" t="s">
        <v>189</v>
      </c>
      <c r="I223" t="s">
        <v>190</v>
      </c>
      <c r="J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908</v>
      </c>
      <c r="R223" s="3" t="s">
        <v>32</v>
      </c>
      <c r="S223" t="s">
        <v>32</v>
      </c>
      <c r="T223" s="1">
        <v>45015.532870370371</v>
      </c>
      <c r="U223" s="1">
        <v>45423.739247685182</v>
      </c>
      <c r="V223" s="2" t="s">
        <v>909</v>
      </c>
    </row>
    <row r="224" spans="1:22" x14ac:dyDescent="0.45">
      <c r="A224" t="s">
        <v>712</v>
      </c>
      <c r="B224" t="s">
        <v>905</v>
      </c>
      <c r="C224" t="s">
        <v>910</v>
      </c>
      <c r="D224" t="s">
        <v>911</v>
      </c>
      <c r="F224" t="s">
        <v>85</v>
      </c>
      <c r="G224" t="s">
        <v>188</v>
      </c>
      <c r="H224" t="s">
        <v>189</v>
      </c>
      <c r="I224" t="s">
        <v>190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912</v>
      </c>
      <c r="R224" s="3" t="s">
        <v>32</v>
      </c>
      <c r="S224" t="s">
        <v>32</v>
      </c>
      <c r="T224" s="1">
        <v>45015.532870370371</v>
      </c>
      <c r="U224" s="1">
        <v>45423.739351851851</v>
      </c>
      <c r="V224" s="2" t="s">
        <v>913</v>
      </c>
    </row>
    <row r="225" spans="1:22" x14ac:dyDescent="0.45">
      <c r="A225" t="s">
        <v>712</v>
      </c>
      <c r="B225" t="s">
        <v>905</v>
      </c>
      <c r="C225" t="s">
        <v>914</v>
      </c>
      <c r="D225" t="s">
        <v>642</v>
      </c>
      <c r="F225" t="s">
        <v>85</v>
      </c>
      <c r="G225" t="s">
        <v>188</v>
      </c>
      <c r="H225" t="s">
        <v>189</v>
      </c>
      <c r="I225" t="s">
        <v>190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915</v>
      </c>
      <c r="R225" s="3" t="s">
        <v>32</v>
      </c>
      <c r="S225" t="s">
        <v>32</v>
      </c>
      <c r="T225" s="1">
        <v>45015.532870370371</v>
      </c>
      <c r="U225" s="1">
        <v>45423.739108796297</v>
      </c>
      <c r="V225" s="2" t="s">
        <v>916</v>
      </c>
    </row>
    <row r="226" spans="1:22" x14ac:dyDescent="0.45">
      <c r="A226" t="s">
        <v>712</v>
      </c>
      <c r="B226" t="s">
        <v>917</v>
      </c>
      <c r="C226" t="s">
        <v>918</v>
      </c>
      <c r="D226" t="s">
        <v>919</v>
      </c>
      <c r="F226" t="s">
        <v>85</v>
      </c>
      <c r="G226" t="s">
        <v>188</v>
      </c>
      <c r="H226" t="s">
        <v>312</v>
      </c>
      <c r="I226" t="s">
        <v>313</v>
      </c>
      <c r="J226" t="s">
        <v>32</v>
      </c>
      <c r="K226" t="s">
        <v>30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t="s">
        <v>920</v>
      </c>
      <c r="R226" s="3" t="s">
        <v>32</v>
      </c>
      <c r="S226" t="s">
        <v>32</v>
      </c>
      <c r="T226" s="1">
        <v>45015.532870370371</v>
      </c>
      <c r="U226" s="1">
        <v>45427.451296296298</v>
      </c>
      <c r="V226" s="2" t="s">
        <v>921</v>
      </c>
    </row>
    <row r="227" spans="1:22" x14ac:dyDescent="0.45">
      <c r="A227" t="s">
        <v>712</v>
      </c>
      <c r="B227" t="s">
        <v>309</v>
      </c>
      <c r="C227" t="s">
        <v>922</v>
      </c>
      <c r="D227" t="s">
        <v>311</v>
      </c>
      <c r="F227" t="s">
        <v>233</v>
      </c>
      <c r="G227" t="s">
        <v>188</v>
      </c>
      <c r="H227" t="s">
        <v>312</v>
      </c>
      <c r="I227" t="s">
        <v>313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923</v>
      </c>
      <c r="R227" s="3" t="s">
        <v>32</v>
      </c>
      <c r="S227" t="s">
        <v>32</v>
      </c>
      <c r="T227" s="1">
        <v>45015.532870370371</v>
      </c>
      <c r="U227" s="1">
        <v>45015.532870370371</v>
      </c>
      <c r="V227" s="2" t="s">
        <v>924</v>
      </c>
    </row>
    <row r="228" spans="1:22" x14ac:dyDescent="0.45">
      <c r="A228" t="s">
        <v>712</v>
      </c>
      <c r="B228" t="s">
        <v>309</v>
      </c>
      <c r="C228" t="s">
        <v>925</v>
      </c>
      <c r="D228" t="s">
        <v>317</v>
      </c>
      <c r="F228" t="s">
        <v>187</v>
      </c>
      <c r="G228" t="s">
        <v>188</v>
      </c>
      <c r="H228" t="s">
        <v>312</v>
      </c>
      <c r="I228" t="s">
        <v>313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926</v>
      </c>
      <c r="R228" s="3" t="s">
        <v>32</v>
      </c>
      <c r="S228" t="s">
        <v>32</v>
      </c>
      <c r="T228" s="1">
        <v>45015.532881944448</v>
      </c>
      <c r="U228" s="1">
        <v>45015.532881944448</v>
      </c>
      <c r="V228" s="2" t="s">
        <v>927</v>
      </c>
    </row>
    <row r="229" spans="1:22" x14ac:dyDescent="0.45">
      <c r="A229" t="s">
        <v>712</v>
      </c>
      <c r="B229" t="s">
        <v>309</v>
      </c>
      <c r="C229" t="s">
        <v>928</v>
      </c>
      <c r="D229" t="s">
        <v>321</v>
      </c>
      <c r="F229" t="s">
        <v>187</v>
      </c>
      <c r="G229" t="s">
        <v>188</v>
      </c>
      <c r="H229" t="s">
        <v>312</v>
      </c>
      <c r="I229" t="s">
        <v>313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929</v>
      </c>
      <c r="R229" s="3" t="s">
        <v>32</v>
      </c>
      <c r="S229" t="s">
        <v>32</v>
      </c>
      <c r="T229" s="1">
        <v>45015.532881944448</v>
      </c>
      <c r="U229" s="1">
        <v>45015.532881944448</v>
      </c>
      <c r="V229" s="2" t="s">
        <v>930</v>
      </c>
    </row>
    <row r="230" spans="1:22" x14ac:dyDescent="0.45">
      <c r="A230" t="s">
        <v>712</v>
      </c>
      <c r="B230" t="s">
        <v>334</v>
      </c>
      <c r="C230" t="s">
        <v>931</v>
      </c>
      <c r="D230" t="s">
        <v>334</v>
      </c>
      <c r="F230" t="s">
        <v>85</v>
      </c>
      <c r="G230" t="s">
        <v>26</v>
      </c>
      <c r="H230" t="s">
        <v>27</v>
      </c>
      <c r="I230" t="s">
        <v>28</v>
      </c>
      <c r="J230" t="s">
        <v>32</v>
      </c>
      <c r="K230" t="s">
        <v>337</v>
      </c>
      <c r="L230" t="s">
        <v>32</v>
      </c>
      <c r="M230" t="s">
        <v>32</v>
      </c>
      <c r="N230" t="s">
        <v>32</v>
      </c>
      <c r="O230" t="s">
        <v>32</v>
      </c>
      <c r="P230" t="s">
        <v>32</v>
      </c>
      <c r="Q230" t="s">
        <v>932</v>
      </c>
      <c r="R230" s="3" t="s">
        <v>32</v>
      </c>
      <c r="S230" t="s">
        <v>32</v>
      </c>
      <c r="T230" s="1">
        <v>45015.532881944448</v>
      </c>
      <c r="U230" s="1">
        <v>45423.740185185183</v>
      </c>
      <c r="V230" s="2" t="s">
        <v>933</v>
      </c>
    </row>
    <row r="231" spans="1:22" x14ac:dyDescent="0.45">
      <c r="A231" t="s">
        <v>712</v>
      </c>
      <c r="B231" t="s">
        <v>340</v>
      </c>
      <c r="C231" t="s">
        <v>934</v>
      </c>
      <c r="D231" t="s">
        <v>340</v>
      </c>
      <c r="F231" t="s">
        <v>85</v>
      </c>
      <c r="G231" t="s">
        <v>26</v>
      </c>
      <c r="H231" t="s">
        <v>62</v>
      </c>
      <c r="I231" t="s">
        <v>342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935</v>
      </c>
      <c r="R231" s="3" t="s">
        <v>32</v>
      </c>
      <c r="S231" t="s">
        <v>32</v>
      </c>
      <c r="T231" s="1">
        <v>45015.532881944448</v>
      </c>
      <c r="U231" s="1">
        <v>45423.740590277775</v>
      </c>
      <c r="V231" s="2" t="s">
        <v>936</v>
      </c>
    </row>
    <row r="232" spans="1:22" x14ac:dyDescent="0.45">
      <c r="A232" t="s">
        <v>712</v>
      </c>
      <c r="B232" t="s">
        <v>345</v>
      </c>
      <c r="C232" t="s">
        <v>937</v>
      </c>
      <c r="D232" t="s">
        <v>347</v>
      </c>
      <c r="F232" t="s">
        <v>85</v>
      </c>
      <c r="G232" t="s">
        <v>26</v>
      </c>
      <c r="H232" t="s">
        <v>27</v>
      </c>
      <c r="I232" t="s">
        <v>28</v>
      </c>
      <c r="J232" t="s">
        <v>32</v>
      </c>
      <c r="K232" t="s">
        <v>337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938</v>
      </c>
      <c r="R232" s="3" t="s">
        <v>32</v>
      </c>
      <c r="S232" t="s">
        <v>32</v>
      </c>
      <c r="T232" s="1">
        <v>45015.532881944448</v>
      </c>
      <c r="U232" s="1">
        <v>45423.740937499999</v>
      </c>
      <c r="V232" s="2" t="s">
        <v>939</v>
      </c>
    </row>
    <row r="233" spans="1:22" x14ac:dyDescent="0.45">
      <c r="A233" t="s">
        <v>712</v>
      </c>
      <c r="B233" t="s">
        <v>350</v>
      </c>
      <c r="C233" t="s">
        <v>940</v>
      </c>
      <c r="D233" t="s">
        <v>352</v>
      </c>
      <c r="F233" t="s">
        <v>85</v>
      </c>
      <c r="G233" t="s">
        <v>26</v>
      </c>
      <c r="H233" t="s">
        <v>27</v>
      </c>
      <c r="I233" t="s">
        <v>28</v>
      </c>
      <c r="J233" t="s">
        <v>32</v>
      </c>
      <c r="K233" t="s">
        <v>63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941</v>
      </c>
      <c r="R233" s="3" t="s">
        <v>32</v>
      </c>
      <c r="S233" t="s">
        <v>32</v>
      </c>
      <c r="T233" s="1">
        <v>45015.532881944448</v>
      </c>
      <c r="U233" s="1">
        <v>45423.741261574076</v>
      </c>
      <c r="V233" s="2" t="s">
        <v>942</v>
      </c>
    </row>
    <row r="234" spans="1:22" x14ac:dyDescent="0.45">
      <c r="A234" t="s">
        <v>712</v>
      </c>
      <c r="B234" t="s">
        <v>355</v>
      </c>
      <c r="C234" t="s">
        <v>943</v>
      </c>
      <c r="D234" t="s">
        <v>355</v>
      </c>
      <c r="F234" t="s">
        <v>326</v>
      </c>
      <c r="G234" t="s">
        <v>26</v>
      </c>
      <c r="H234" t="s">
        <v>27</v>
      </c>
      <c r="I234" t="s">
        <v>28</v>
      </c>
      <c r="J234" t="s">
        <v>32</v>
      </c>
      <c r="K234" t="s">
        <v>32</v>
      </c>
      <c r="L234" t="s">
        <v>32</v>
      </c>
      <c r="M234" t="s">
        <v>32</v>
      </c>
      <c r="N234" t="s">
        <v>32</v>
      </c>
      <c r="O234" t="s">
        <v>32</v>
      </c>
      <c r="P234" t="s">
        <v>32</v>
      </c>
      <c r="Q234" t="s">
        <v>944</v>
      </c>
      <c r="R234" s="3" t="s">
        <v>32</v>
      </c>
      <c r="S234" t="s">
        <v>32</v>
      </c>
      <c r="T234" s="1">
        <v>45015.532881944448</v>
      </c>
      <c r="U234" s="1">
        <v>45423.741481481484</v>
      </c>
      <c r="V234" s="2" t="s">
        <v>945</v>
      </c>
    </row>
    <row r="235" spans="1:22" x14ac:dyDescent="0.45">
      <c r="A235" t="s">
        <v>712</v>
      </c>
      <c r="B235" t="s">
        <v>946</v>
      </c>
      <c r="C235" t="s">
        <v>947</v>
      </c>
      <c r="D235" t="s">
        <v>946</v>
      </c>
      <c r="F235" t="s">
        <v>76</v>
      </c>
      <c r="G235" t="s">
        <v>26</v>
      </c>
      <c r="H235" t="s">
        <v>27</v>
      </c>
      <c r="I235" t="s">
        <v>28</v>
      </c>
      <c r="J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t="s">
        <v>948</v>
      </c>
      <c r="R235" s="3" t="s">
        <v>32</v>
      </c>
      <c r="S235" t="s">
        <v>32</v>
      </c>
      <c r="T235" s="1">
        <v>45015.532881944448</v>
      </c>
      <c r="U235" s="1">
        <v>45423.741759259261</v>
      </c>
      <c r="V235" s="2" t="s">
        <v>949</v>
      </c>
    </row>
    <row r="236" spans="1:22" x14ac:dyDescent="0.45">
      <c r="A236" t="s">
        <v>712</v>
      </c>
      <c r="B236" t="s">
        <v>661</v>
      </c>
      <c r="C236" t="s">
        <v>950</v>
      </c>
      <c r="D236" t="s">
        <v>951</v>
      </c>
      <c r="F236" t="s">
        <v>326</v>
      </c>
      <c r="G236" t="s">
        <v>26</v>
      </c>
      <c r="H236" t="s">
        <v>663</v>
      </c>
      <c r="I236" t="s">
        <v>28</v>
      </c>
      <c r="J236" t="s">
        <v>32</v>
      </c>
      <c r="K236" t="s">
        <v>32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t="s">
        <v>952</v>
      </c>
      <c r="R236" s="3" t="s">
        <v>32</v>
      </c>
      <c r="S236" t="s">
        <v>32</v>
      </c>
      <c r="T236" s="1">
        <v>45015.532881944448</v>
      </c>
      <c r="U236" s="1">
        <v>45423.741990740738</v>
      </c>
      <c r="V236" s="2" t="s">
        <v>953</v>
      </c>
    </row>
    <row r="237" spans="1:22" x14ac:dyDescent="0.45">
      <c r="A237" t="s">
        <v>712</v>
      </c>
      <c r="B237" t="s">
        <v>661</v>
      </c>
      <c r="C237" t="s">
        <v>954</v>
      </c>
      <c r="D237" t="s">
        <v>955</v>
      </c>
      <c r="F237" t="s">
        <v>25</v>
      </c>
      <c r="G237" t="s">
        <v>26</v>
      </c>
      <c r="H237" t="s">
        <v>663</v>
      </c>
      <c r="I237" t="s">
        <v>28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956</v>
      </c>
      <c r="R237" s="3" t="s">
        <v>32</v>
      </c>
      <c r="S237" t="s">
        <v>32</v>
      </c>
      <c r="T237" s="1">
        <v>45015.532881944448</v>
      </c>
      <c r="U237" s="1">
        <v>45423.743321759262</v>
      </c>
      <c r="V237" s="2" t="s">
        <v>957</v>
      </c>
    </row>
    <row r="238" spans="1:22" x14ac:dyDescent="0.45">
      <c r="A238" t="s">
        <v>712</v>
      </c>
      <c r="B238" t="s">
        <v>661</v>
      </c>
      <c r="C238" t="s">
        <v>958</v>
      </c>
      <c r="D238" t="s">
        <v>959</v>
      </c>
      <c r="F238" t="s">
        <v>85</v>
      </c>
      <c r="G238" t="s">
        <v>26</v>
      </c>
      <c r="H238" t="s">
        <v>663</v>
      </c>
      <c r="I238" t="s">
        <v>28</v>
      </c>
      <c r="J238" t="s">
        <v>664</v>
      </c>
      <c r="K238" t="s">
        <v>30</v>
      </c>
      <c r="L238" t="s">
        <v>665</v>
      </c>
      <c r="M238" t="s">
        <v>64</v>
      </c>
      <c r="N238" t="s">
        <v>960</v>
      </c>
      <c r="O238" t="s">
        <v>961</v>
      </c>
      <c r="P238" t="s">
        <v>33</v>
      </c>
      <c r="Q238" t="s">
        <v>962</v>
      </c>
      <c r="R238" s="3" t="s">
        <v>32</v>
      </c>
      <c r="S238" t="s">
        <v>32</v>
      </c>
      <c r="T238" s="1">
        <v>45015.532881944448</v>
      </c>
      <c r="U238" s="1">
        <v>45547.500381944446</v>
      </c>
      <c r="V238" s="2" t="s">
        <v>963</v>
      </c>
    </row>
    <row r="239" spans="1:22" x14ac:dyDescent="0.45">
      <c r="A239" t="s">
        <v>712</v>
      </c>
      <c r="B239" t="s">
        <v>964</v>
      </c>
      <c r="C239" t="s">
        <v>965</v>
      </c>
      <c r="D239" t="s">
        <v>964</v>
      </c>
      <c r="F239" t="s">
        <v>326</v>
      </c>
      <c r="G239" t="s">
        <v>26</v>
      </c>
      <c r="H239" t="s">
        <v>27</v>
      </c>
      <c r="I239" t="s">
        <v>28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966</v>
      </c>
      <c r="R239" s="3" t="s">
        <v>32</v>
      </c>
      <c r="S239" t="s">
        <v>32</v>
      </c>
      <c r="T239" s="1">
        <v>45015.532881944448</v>
      </c>
      <c r="U239" s="1">
        <v>45423.743958333333</v>
      </c>
      <c r="V239" s="2" t="s">
        <v>967</v>
      </c>
    </row>
    <row r="240" spans="1:22" x14ac:dyDescent="0.45">
      <c r="A240" t="s">
        <v>712</v>
      </c>
      <c r="B240" t="s">
        <v>672</v>
      </c>
      <c r="C240" t="s">
        <v>968</v>
      </c>
      <c r="D240" t="s">
        <v>969</v>
      </c>
      <c r="F240" t="s">
        <v>326</v>
      </c>
      <c r="G240" t="s">
        <v>188</v>
      </c>
      <c r="H240" t="s">
        <v>189</v>
      </c>
      <c r="I240" t="s">
        <v>190</v>
      </c>
      <c r="J240" t="s">
        <v>32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970</v>
      </c>
      <c r="R240" s="3" t="s">
        <v>32</v>
      </c>
      <c r="S240" t="s">
        <v>32</v>
      </c>
      <c r="T240" s="1">
        <v>45015.532881944448</v>
      </c>
      <c r="U240" s="1">
        <v>45423.74422453704</v>
      </c>
      <c r="V240" s="2" t="s">
        <v>971</v>
      </c>
    </row>
    <row r="241" spans="1:22" x14ac:dyDescent="0.45">
      <c r="A241" t="s">
        <v>712</v>
      </c>
      <c r="B241" t="s">
        <v>680</v>
      </c>
      <c r="C241" t="s">
        <v>972</v>
      </c>
      <c r="D241" t="s">
        <v>680</v>
      </c>
      <c r="F241" t="s">
        <v>85</v>
      </c>
      <c r="G241" t="s">
        <v>26</v>
      </c>
      <c r="H241" t="s">
        <v>62</v>
      </c>
      <c r="I241" t="s">
        <v>342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973</v>
      </c>
      <c r="R241" s="3" t="s">
        <v>32</v>
      </c>
      <c r="S241" t="s">
        <v>32</v>
      </c>
      <c r="T241" s="1">
        <v>45015.532881944448</v>
      </c>
      <c r="U241" s="1">
        <v>45423.744675925926</v>
      </c>
      <c r="V241" s="2" t="s">
        <v>974</v>
      </c>
    </row>
    <row r="242" spans="1:22" x14ac:dyDescent="0.45">
      <c r="A242" t="s">
        <v>712</v>
      </c>
      <c r="B242" t="s">
        <v>372</v>
      </c>
      <c r="C242" t="s">
        <v>975</v>
      </c>
      <c r="D242" t="s">
        <v>372</v>
      </c>
      <c r="F242" t="s">
        <v>56</v>
      </c>
      <c r="G242" t="s">
        <v>188</v>
      </c>
      <c r="H242" t="s">
        <v>189</v>
      </c>
      <c r="I242" t="s">
        <v>287</v>
      </c>
      <c r="J242" t="s">
        <v>374</v>
      </c>
      <c r="K242" t="s">
        <v>30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976</v>
      </c>
      <c r="R242" s="3" t="s">
        <v>32</v>
      </c>
      <c r="S242" t="s">
        <v>32</v>
      </c>
      <c r="T242" s="1">
        <v>45015.532881944448</v>
      </c>
      <c r="U242" s="1">
        <v>45427.425925925927</v>
      </c>
      <c r="V242" s="2" t="s">
        <v>977</v>
      </c>
    </row>
    <row r="243" spans="1:22" x14ac:dyDescent="0.45">
      <c r="A243" t="s">
        <v>712</v>
      </c>
      <c r="B243" t="s">
        <v>377</v>
      </c>
      <c r="C243" t="s">
        <v>978</v>
      </c>
      <c r="D243" t="s">
        <v>377</v>
      </c>
      <c r="F243" t="s">
        <v>25</v>
      </c>
      <c r="G243" t="s">
        <v>26</v>
      </c>
      <c r="H243" t="s">
        <v>27</v>
      </c>
      <c r="I243" t="s">
        <v>28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979</v>
      </c>
      <c r="R243" s="3" t="s">
        <v>32</v>
      </c>
      <c r="S243" t="s">
        <v>32</v>
      </c>
      <c r="T243" s="1">
        <v>45015.532881944448</v>
      </c>
      <c r="U243" s="1">
        <v>45423.745509259257</v>
      </c>
      <c r="V243" s="2" t="s">
        <v>980</v>
      </c>
    </row>
    <row r="244" spans="1:22" x14ac:dyDescent="0.45">
      <c r="A244" t="s">
        <v>712</v>
      </c>
      <c r="B244" t="s">
        <v>377</v>
      </c>
      <c r="C244" t="s">
        <v>981</v>
      </c>
      <c r="D244" t="s">
        <v>382</v>
      </c>
      <c r="F244" t="s">
        <v>25</v>
      </c>
      <c r="G244" t="s">
        <v>26</v>
      </c>
      <c r="H244" t="s">
        <v>27</v>
      </c>
      <c r="I244" t="s">
        <v>28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982</v>
      </c>
      <c r="R244" s="3" t="s">
        <v>32</v>
      </c>
      <c r="S244" t="s">
        <v>32</v>
      </c>
      <c r="T244" s="1">
        <v>45015.532881944448</v>
      </c>
      <c r="U244" s="1">
        <v>45423.746111111112</v>
      </c>
      <c r="V244" s="2" t="s">
        <v>983</v>
      </c>
    </row>
    <row r="245" spans="1:22" x14ac:dyDescent="0.45">
      <c r="A245" t="s">
        <v>712</v>
      </c>
      <c r="B245" t="s">
        <v>385</v>
      </c>
      <c r="C245" t="s">
        <v>984</v>
      </c>
      <c r="D245" t="s">
        <v>385</v>
      </c>
      <c r="F245" t="s">
        <v>56</v>
      </c>
      <c r="G245" t="s">
        <v>26</v>
      </c>
      <c r="H245" t="s">
        <v>62</v>
      </c>
      <c r="I245" t="s">
        <v>28</v>
      </c>
      <c r="J245" t="s">
        <v>32</v>
      </c>
      <c r="K245" t="s">
        <v>63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985</v>
      </c>
      <c r="R245" s="3" t="s">
        <v>32</v>
      </c>
      <c r="S245" t="s">
        <v>32</v>
      </c>
      <c r="T245" s="1">
        <v>45015.532881944448</v>
      </c>
      <c r="U245" s="1">
        <v>45423.74659722222</v>
      </c>
      <c r="V245" s="2" t="s">
        <v>986</v>
      </c>
    </row>
    <row r="246" spans="1:22" x14ac:dyDescent="0.45">
      <c r="A246" t="s">
        <v>712</v>
      </c>
      <c r="B246" t="s">
        <v>987</v>
      </c>
      <c r="C246" t="s">
        <v>988</v>
      </c>
      <c r="D246" t="s">
        <v>987</v>
      </c>
      <c r="F246" t="s">
        <v>25</v>
      </c>
      <c r="G246" t="s">
        <v>26</v>
      </c>
      <c r="H246" t="s">
        <v>27</v>
      </c>
      <c r="I246" t="s">
        <v>28</v>
      </c>
      <c r="J246" t="s">
        <v>32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989</v>
      </c>
      <c r="R246" s="3" t="s">
        <v>32</v>
      </c>
      <c r="S246" t="s">
        <v>32</v>
      </c>
      <c r="T246" s="1">
        <v>45551.618414351855</v>
      </c>
      <c r="U246" s="1">
        <v>45551.634930555556</v>
      </c>
      <c r="V246" s="2" t="s">
        <v>990</v>
      </c>
    </row>
    <row r="247" spans="1:22" hidden="1" x14ac:dyDescent="0.45">
      <c r="A247" t="s">
        <v>991</v>
      </c>
      <c r="B247" t="s">
        <v>22</v>
      </c>
      <c r="C247" t="s">
        <v>992</v>
      </c>
      <c r="D247" t="s">
        <v>24</v>
      </c>
      <c r="F247" t="s">
        <v>25</v>
      </c>
      <c r="G247" t="s">
        <v>26</v>
      </c>
      <c r="H247" t="s">
        <v>27</v>
      </c>
      <c r="I247" t="s">
        <v>28</v>
      </c>
      <c r="J247" t="s">
        <v>29</v>
      </c>
      <c r="K247" t="s">
        <v>30</v>
      </c>
      <c r="L247" t="s">
        <v>31</v>
      </c>
      <c r="M247" t="s">
        <v>32</v>
      </c>
      <c r="N247" t="s">
        <v>32</v>
      </c>
      <c r="O247" t="s">
        <v>32</v>
      </c>
      <c r="P247" t="s">
        <v>33</v>
      </c>
      <c r="Q247" t="s">
        <v>993</v>
      </c>
      <c r="R247" s="3">
        <v>21</v>
      </c>
      <c r="S247" t="s">
        <v>32</v>
      </c>
      <c r="T247" s="1">
        <v>45015.532847222225</v>
      </c>
      <c r="U247" s="1">
        <v>45428.534062500003</v>
      </c>
      <c r="V247" s="2" t="s">
        <v>994</v>
      </c>
    </row>
    <row r="248" spans="1:22" hidden="1" x14ac:dyDescent="0.45">
      <c r="A248" t="s">
        <v>991</v>
      </c>
      <c r="B248" t="s">
        <v>22</v>
      </c>
      <c r="C248" t="s">
        <v>995</v>
      </c>
      <c r="D248" t="s">
        <v>38</v>
      </c>
      <c r="F248" t="s">
        <v>25</v>
      </c>
      <c r="G248" t="s">
        <v>26</v>
      </c>
      <c r="H248" t="s">
        <v>27</v>
      </c>
      <c r="I248" t="s">
        <v>28</v>
      </c>
      <c r="J248" t="s">
        <v>29</v>
      </c>
      <c r="K248" t="s">
        <v>30</v>
      </c>
      <c r="L248" t="s">
        <v>31</v>
      </c>
      <c r="M248" t="s">
        <v>32</v>
      </c>
      <c r="N248" t="s">
        <v>32</v>
      </c>
      <c r="O248" t="s">
        <v>32</v>
      </c>
      <c r="P248" t="s">
        <v>33</v>
      </c>
      <c r="Q248" t="s">
        <v>996</v>
      </c>
      <c r="R248" s="3">
        <v>15</v>
      </c>
      <c r="S248" t="s">
        <v>32</v>
      </c>
      <c r="T248" s="1">
        <v>45015.532847222225</v>
      </c>
      <c r="U248" s="1">
        <v>45428.53638888889</v>
      </c>
      <c r="V248" s="2" t="s">
        <v>997</v>
      </c>
    </row>
    <row r="249" spans="1:22" hidden="1" x14ac:dyDescent="0.45">
      <c r="A249" t="s">
        <v>991</v>
      </c>
      <c r="B249" t="s">
        <v>22</v>
      </c>
      <c r="C249" t="s">
        <v>998</v>
      </c>
      <c r="D249" t="s">
        <v>43</v>
      </c>
      <c r="F249" t="s">
        <v>25</v>
      </c>
      <c r="G249" t="s">
        <v>26</v>
      </c>
      <c r="H249" t="s">
        <v>27</v>
      </c>
      <c r="I249" t="s">
        <v>28</v>
      </c>
      <c r="J249" t="s">
        <v>29</v>
      </c>
      <c r="K249" t="s">
        <v>30</v>
      </c>
      <c r="L249" t="s">
        <v>31</v>
      </c>
      <c r="M249" t="s">
        <v>32</v>
      </c>
      <c r="N249" t="s">
        <v>32</v>
      </c>
      <c r="O249" t="s">
        <v>32</v>
      </c>
      <c r="P249" t="s">
        <v>33</v>
      </c>
      <c r="Q249" t="s">
        <v>999</v>
      </c>
      <c r="R249" s="3">
        <v>3</v>
      </c>
      <c r="S249" t="s">
        <v>32</v>
      </c>
      <c r="T249" s="1">
        <v>45015.532847222225</v>
      </c>
      <c r="U249" s="1">
        <v>45428.537268518521</v>
      </c>
      <c r="V249" s="2" t="s">
        <v>1000</v>
      </c>
    </row>
    <row r="250" spans="1:22" hidden="1" x14ac:dyDescent="0.45">
      <c r="A250" t="s">
        <v>991</v>
      </c>
      <c r="B250" t="s">
        <v>22</v>
      </c>
      <c r="C250" t="s">
        <v>1001</v>
      </c>
      <c r="D250" t="s">
        <v>723</v>
      </c>
      <c r="F250" t="s">
        <v>102</v>
      </c>
      <c r="G250" t="s">
        <v>26</v>
      </c>
      <c r="H250" t="s">
        <v>27</v>
      </c>
      <c r="I250" t="s">
        <v>28</v>
      </c>
      <c r="J250" t="s">
        <v>29</v>
      </c>
      <c r="K250" t="s">
        <v>30</v>
      </c>
      <c r="L250" t="s">
        <v>31</v>
      </c>
      <c r="M250" t="s">
        <v>32</v>
      </c>
      <c r="N250" t="s">
        <v>32</v>
      </c>
      <c r="O250" t="s">
        <v>32</v>
      </c>
      <c r="P250" t="s">
        <v>33</v>
      </c>
      <c r="Q250" t="s">
        <v>1002</v>
      </c>
      <c r="R250" s="3" t="s">
        <v>32</v>
      </c>
      <c r="S250" t="s">
        <v>32</v>
      </c>
      <c r="T250" s="1">
        <v>45015.532847222225</v>
      </c>
      <c r="U250" s="1">
        <v>45426.629560185182</v>
      </c>
      <c r="V250" s="2" t="s">
        <v>1003</v>
      </c>
    </row>
    <row r="251" spans="1:22" hidden="1" x14ac:dyDescent="0.45">
      <c r="A251" t="s">
        <v>991</v>
      </c>
      <c r="B251" t="s">
        <v>22</v>
      </c>
      <c r="C251" t="s">
        <v>1004</v>
      </c>
      <c r="D251" t="s">
        <v>47</v>
      </c>
      <c r="F251" t="s">
        <v>25</v>
      </c>
      <c r="G251" t="s">
        <v>26</v>
      </c>
      <c r="H251" t="s">
        <v>27</v>
      </c>
      <c r="I251" t="s">
        <v>28</v>
      </c>
      <c r="J251" t="s">
        <v>29</v>
      </c>
      <c r="K251" t="s">
        <v>30</v>
      </c>
      <c r="L251" t="s">
        <v>31</v>
      </c>
      <c r="M251" t="s">
        <v>32</v>
      </c>
      <c r="N251" t="s">
        <v>32</v>
      </c>
      <c r="O251" t="s">
        <v>32</v>
      </c>
      <c r="P251" t="s">
        <v>33</v>
      </c>
      <c r="Q251" t="s">
        <v>1005</v>
      </c>
      <c r="R251" s="3">
        <v>10</v>
      </c>
      <c r="S251" t="s">
        <v>32</v>
      </c>
      <c r="T251" s="1">
        <v>45015.532847222225</v>
      </c>
      <c r="U251" s="1">
        <v>45428.708090277774</v>
      </c>
      <c r="V251" s="2" t="s">
        <v>1006</v>
      </c>
    </row>
    <row r="252" spans="1:22" hidden="1" x14ac:dyDescent="0.45">
      <c r="A252" t="s">
        <v>991</v>
      </c>
      <c r="B252" t="s">
        <v>22</v>
      </c>
      <c r="C252" t="s">
        <v>1007</v>
      </c>
      <c r="D252" t="s">
        <v>51</v>
      </c>
      <c r="F252" t="s">
        <v>25</v>
      </c>
      <c r="G252" t="s">
        <v>26</v>
      </c>
      <c r="H252" t="s">
        <v>27</v>
      </c>
      <c r="I252" t="s">
        <v>28</v>
      </c>
      <c r="J252" t="s">
        <v>29</v>
      </c>
      <c r="K252" t="s">
        <v>30</v>
      </c>
      <c r="L252" t="s">
        <v>31</v>
      </c>
      <c r="M252" t="s">
        <v>32</v>
      </c>
      <c r="N252" t="s">
        <v>32</v>
      </c>
      <c r="O252" t="s">
        <v>32</v>
      </c>
      <c r="P252" t="s">
        <v>33</v>
      </c>
      <c r="Q252" t="s">
        <v>1008</v>
      </c>
      <c r="R252" s="3">
        <v>10</v>
      </c>
      <c r="S252" t="s">
        <v>32</v>
      </c>
      <c r="T252" s="1">
        <v>45015.532847222225</v>
      </c>
      <c r="U252" s="1">
        <v>45428.708090277774</v>
      </c>
      <c r="V252" s="2" t="s">
        <v>1009</v>
      </c>
    </row>
    <row r="253" spans="1:22" hidden="1" x14ac:dyDescent="0.45">
      <c r="A253" t="s">
        <v>991</v>
      </c>
      <c r="B253" t="s">
        <v>22</v>
      </c>
      <c r="C253" t="s">
        <v>1010</v>
      </c>
      <c r="D253" t="s">
        <v>55</v>
      </c>
      <c r="F253" t="s">
        <v>56</v>
      </c>
      <c r="G253" t="s">
        <v>26</v>
      </c>
      <c r="H253" t="s">
        <v>27</v>
      </c>
      <c r="I253" t="s">
        <v>28</v>
      </c>
      <c r="J253" t="s">
        <v>29</v>
      </c>
      <c r="K253" t="s">
        <v>30</v>
      </c>
      <c r="L253" t="s">
        <v>31</v>
      </c>
      <c r="M253" t="s">
        <v>32</v>
      </c>
      <c r="N253" t="s">
        <v>32</v>
      </c>
      <c r="O253" t="s">
        <v>32</v>
      </c>
      <c r="P253" t="s">
        <v>33</v>
      </c>
      <c r="Q253" t="s">
        <v>1011</v>
      </c>
      <c r="R253" s="3">
        <v>10</v>
      </c>
      <c r="S253" t="s">
        <v>32</v>
      </c>
      <c r="T253" s="1">
        <v>45015.532847222225</v>
      </c>
      <c r="U253" s="1">
        <v>45428.71837962963</v>
      </c>
      <c r="V253" s="2" t="s">
        <v>1012</v>
      </c>
    </row>
    <row r="254" spans="1:22" hidden="1" x14ac:dyDescent="0.45">
      <c r="A254" t="s">
        <v>991</v>
      </c>
      <c r="B254" t="s">
        <v>22</v>
      </c>
      <c r="C254" t="s">
        <v>1013</v>
      </c>
      <c r="D254" t="s">
        <v>411</v>
      </c>
      <c r="F254" t="s">
        <v>71</v>
      </c>
      <c r="G254" t="s">
        <v>26</v>
      </c>
      <c r="H254" t="s">
        <v>27</v>
      </c>
      <c r="I254" t="s">
        <v>28</v>
      </c>
      <c r="J254" t="s">
        <v>29</v>
      </c>
      <c r="K254" t="s">
        <v>30</v>
      </c>
      <c r="L254" t="s">
        <v>31</v>
      </c>
      <c r="M254" t="s">
        <v>32</v>
      </c>
      <c r="N254" t="s">
        <v>32</v>
      </c>
      <c r="O254" t="s">
        <v>32</v>
      </c>
      <c r="P254" t="s">
        <v>33</v>
      </c>
      <c r="Q254" t="s">
        <v>1014</v>
      </c>
      <c r="R254" s="3">
        <v>10</v>
      </c>
      <c r="S254" t="s">
        <v>32</v>
      </c>
      <c r="T254" s="1">
        <v>45015.532847222225</v>
      </c>
      <c r="U254" s="1">
        <v>45428.719201388885</v>
      </c>
      <c r="V254" s="2" t="s">
        <v>1015</v>
      </c>
    </row>
    <row r="255" spans="1:22" hidden="1" x14ac:dyDescent="0.45">
      <c r="A255" t="s">
        <v>991</v>
      </c>
      <c r="B255" t="s">
        <v>22</v>
      </c>
      <c r="C255" t="s">
        <v>1016</v>
      </c>
      <c r="D255" t="s">
        <v>70</v>
      </c>
      <c r="F255" t="s">
        <v>71</v>
      </c>
      <c r="G255" t="s">
        <v>26</v>
      </c>
      <c r="H255" t="s">
        <v>27</v>
      </c>
      <c r="I255" t="s">
        <v>28</v>
      </c>
      <c r="J255" t="s">
        <v>29</v>
      </c>
      <c r="K255" t="s">
        <v>30</v>
      </c>
      <c r="L255" t="s">
        <v>31</v>
      </c>
      <c r="M255" t="s">
        <v>32</v>
      </c>
      <c r="N255" t="s">
        <v>32</v>
      </c>
      <c r="O255" t="s">
        <v>32</v>
      </c>
      <c r="P255" t="s">
        <v>33</v>
      </c>
      <c r="Q255" t="s">
        <v>1017</v>
      </c>
      <c r="R255" s="3">
        <v>3</v>
      </c>
      <c r="S255" t="s">
        <v>32</v>
      </c>
      <c r="T255" s="1">
        <v>45015.532847222225</v>
      </c>
      <c r="U255" s="1">
        <v>45441.491851851853</v>
      </c>
      <c r="V255" s="2" t="s">
        <v>1018</v>
      </c>
    </row>
    <row r="256" spans="1:22" hidden="1" x14ac:dyDescent="0.45">
      <c r="A256" t="s">
        <v>991</v>
      </c>
      <c r="B256" t="s">
        <v>22</v>
      </c>
      <c r="C256" t="s">
        <v>1019</v>
      </c>
      <c r="D256" t="s">
        <v>75</v>
      </c>
      <c r="F256" t="s">
        <v>76</v>
      </c>
      <c r="G256" t="s">
        <v>26</v>
      </c>
      <c r="H256" t="s">
        <v>27</v>
      </c>
      <c r="I256" t="s">
        <v>28</v>
      </c>
      <c r="J256" t="s">
        <v>29</v>
      </c>
      <c r="K256" t="s">
        <v>30</v>
      </c>
      <c r="L256" t="s">
        <v>31</v>
      </c>
      <c r="M256" t="s">
        <v>32</v>
      </c>
      <c r="N256" t="s">
        <v>32</v>
      </c>
      <c r="O256" t="s">
        <v>32</v>
      </c>
      <c r="P256" t="s">
        <v>33</v>
      </c>
      <c r="Q256" t="s">
        <v>1020</v>
      </c>
      <c r="R256" s="3">
        <v>15</v>
      </c>
      <c r="S256" t="s">
        <v>32</v>
      </c>
      <c r="T256" s="1">
        <v>45015.532847222225</v>
      </c>
      <c r="U256" s="1">
        <v>45428.719907407409</v>
      </c>
      <c r="V256" s="2" t="s">
        <v>1021</v>
      </c>
    </row>
    <row r="257" spans="1:22" hidden="1" x14ac:dyDescent="0.45">
      <c r="A257" t="s">
        <v>991</v>
      </c>
      <c r="B257" t="s">
        <v>22</v>
      </c>
      <c r="C257" t="s">
        <v>1022</v>
      </c>
      <c r="D257" t="s">
        <v>80</v>
      </c>
      <c r="F257" t="s">
        <v>71</v>
      </c>
      <c r="G257" t="s">
        <v>26</v>
      </c>
      <c r="H257" t="s">
        <v>27</v>
      </c>
      <c r="I257" t="s">
        <v>28</v>
      </c>
      <c r="J257" t="s">
        <v>29</v>
      </c>
      <c r="K257" t="s">
        <v>30</v>
      </c>
      <c r="L257" t="s">
        <v>31</v>
      </c>
      <c r="M257" t="s">
        <v>32</v>
      </c>
      <c r="N257" t="s">
        <v>32</v>
      </c>
      <c r="O257" t="s">
        <v>32</v>
      </c>
      <c r="P257" t="s">
        <v>33</v>
      </c>
      <c r="Q257" t="s">
        <v>1023</v>
      </c>
      <c r="R257" s="3">
        <v>10</v>
      </c>
      <c r="S257" t="s">
        <v>32</v>
      </c>
      <c r="T257" s="1">
        <v>45015.532847222225</v>
      </c>
      <c r="U257" s="1">
        <v>45428.71837962963</v>
      </c>
      <c r="V257" s="2" t="s">
        <v>1024</v>
      </c>
    </row>
    <row r="258" spans="1:22" hidden="1" x14ac:dyDescent="0.45">
      <c r="A258" t="s">
        <v>991</v>
      </c>
      <c r="B258" t="s">
        <v>22</v>
      </c>
      <c r="C258" t="s">
        <v>1025</v>
      </c>
      <c r="D258" t="s">
        <v>84</v>
      </c>
      <c r="F258" t="s">
        <v>85</v>
      </c>
      <c r="G258" t="s">
        <v>26</v>
      </c>
      <c r="H258" t="s">
        <v>27</v>
      </c>
      <c r="I258" t="s">
        <v>28</v>
      </c>
      <c r="J258" t="s">
        <v>29</v>
      </c>
      <c r="K258" t="s">
        <v>30</v>
      </c>
      <c r="L258" t="s">
        <v>31</v>
      </c>
      <c r="M258" t="s">
        <v>32</v>
      </c>
      <c r="N258" t="s">
        <v>32</v>
      </c>
      <c r="O258" t="s">
        <v>32</v>
      </c>
      <c r="P258" t="s">
        <v>33</v>
      </c>
      <c r="Q258" t="s">
        <v>1026</v>
      </c>
      <c r="R258" s="3">
        <v>3</v>
      </c>
      <c r="S258" t="s">
        <v>32</v>
      </c>
      <c r="T258" s="1">
        <v>45015.532847222225</v>
      </c>
      <c r="U258" s="1">
        <v>45428.720671296294</v>
      </c>
      <c r="V258" s="2" t="s">
        <v>1027</v>
      </c>
    </row>
    <row r="259" spans="1:22" hidden="1" x14ac:dyDescent="0.45">
      <c r="A259" t="s">
        <v>991</v>
      </c>
      <c r="B259" t="s">
        <v>22</v>
      </c>
      <c r="C259" t="s">
        <v>1028</v>
      </c>
      <c r="D259" t="s">
        <v>89</v>
      </c>
      <c r="F259" t="s">
        <v>85</v>
      </c>
      <c r="G259" t="s">
        <v>26</v>
      </c>
      <c r="H259" t="s">
        <v>27</v>
      </c>
      <c r="I259" t="s">
        <v>28</v>
      </c>
      <c r="J259" t="s">
        <v>29</v>
      </c>
      <c r="K259" t="s">
        <v>30</v>
      </c>
      <c r="L259" t="s">
        <v>31</v>
      </c>
      <c r="M259" t="s">
        <v>32</v>
      </c>
      <c r="N259" t="s">
        <v>32</v>
      </c>
      <c r="O259" t="s">
        <v>32</v>
      </c>
      <c r="P259" t="s">
        <v>33</v>
      </c>
      <c r="Q259" t="s">
        <v>1029</v>
      </c>
      <c r="R259" s="3">
        <v>3</v>
      </c>
      <c r="S259" t="s">
        <v>32</v>
      </c>
      <c r="T259" s="1">
        <v>45015.532858796294</v>
      </c>
      <c r="U259" s="1">
        <v>45428.720671296294</v>
      </c>
      <c r="V259" s="2" t="s">
        <v>1030</v>
      </c>
    </row>
    <row r="260" spans="1:22" hidden="1" x14ac:dyDescent="0.45">
      <c r="A260" t="s">
        <v>991</v>
      </c>
      <c r="B260" t="s">
        <v>22</v>
      </c>
      <c r="C260" t="s">
        <v>1031</v>
      </c>
      <c r="D260" t="s">
        <v>93</v>
      </c>
      <c r="F260" t="s">
        <v>71</v>
      </c>
      <c r="G260" t="s">
        <v>26</v>
      </c>
      <c r="H260" t="s">
        <v>27</v>
      </c>
      <c r="I260" t="s">
        <v>28</v>
      </c>
      <c r="J260" t="s">
        <v>29</v>
      </c>
      <c r="K260" t="s">
        <v>30</v>
      </c>
      <c r="L260" t="s">
        <v>31</v>
      </c>
      <c r="M260" t="s">
        <v>32</v>
      </c>
      <c r="N260" t="s">
        <v>32</v>
      </c>
      <c r="O260" t="s">
        <v>32</v>
      </c>
      <c r="P260" t="s">
        <v>33</v>
      </c>
      <c r="Q260" t="s">
        <v>1032</v>
      </c>
      <c r="R260" s="3">
        <v>10</v>
      </c>
      <c r="S260" t="s">
        <v>32</v>
      </c>
      <c r="T260" s="1">
        <v>45015.532858796294</v>
      </c>
      <c r="U260" s="1">
        <v>45428.719201388885</v>
      </c>
      <c r="V260" s="2" t="s">
        <v>1033</v>
      </c>
    </row>
    <row r="261" spans="1:22" hidden="1" x14ac:dyDescent="0.45">
      <c r="A261" t="s">
        <v>991</v>
      </c>
      <c r="B261" t="s">
        <v>22</v>
      </c>
      <c r="C261" t="s">
        <v>1034</v>
      </c>
      <c r="D261" t="s">
        <v>97</v>
      </c>
      <c r="F261" t="s">
        <v>76</v>
      </c>
      <c r="G261" t="s">
        <v>26</v>
      </c>
      <c r="H261" t="s">
        <v>27</v>
      </c>
      <c r="I261" t="s">
        <v>28</v>
      </c>
      <c r="J261" t="s">
        <v>29</v>
      </c>
      <c r="K261" t="s">
        <v>30</v>
      </c>
      <c r="L261" t="s">
        <v>31</v>
      </c>
      <c r="M261" t="s">
        <v>32</v>
      </c>
      <c r="N261" t="s">
        <v>32</v>
      </c>
      <c r="O261" t="s">
        <v>32</v>
      </c>
      <c r="P261" t="s">
        <v>33</v>
      </c>
      <c r="Q261" t="s">
        <v>1035</v>
      </c>
      <c r="R261" s="3">
        <v>15</v>
      </c>
      <c r="S261" t="s">
        <v>32</v>
      </c>
      <c r="T261" s="1">
        <v>45015.532858796294</v>
      </c>
      <c r="U261" s="1">
        <v>45441.490752314814</v>
      </c>
      <c r="V261" s="2" t="s">
        <v>1036</v>
      </c>
    </row>
    <row r="262" spans="1:22" hidden="1" x14ac:dyDescent="0.45">
      <c r="A262" t="s">
        <v>991</v>
      </c>
      <c r="B262" t="s">
        <v>22</v>
      </c>
      <c r="C262" t="s">
        <v>1037</v>
      </c>
      <c r="D262" t="s">
        <v>101</v>
      </c>
      <c r="F262" t="s">
        <v>102</v>
      </c>
      <c r="G262" t="s">
        <v>26</v>
      </c>
      <c r="H262" t="s">
        <v>27</v>
      </c>
      <c r="I262" t="s">
        <v>28</v>
      </c>
      <c r="J262" t="s">
        <v>29</v>
      </c>
      <c r="K262" t="s">
        <v>30</v>
      </c>
      <c r="L262" t="s">
        <v>31</v>
      </c>
      <c r="M262" t="s">
        <v>32</v>
      </c>
      <c r="N262" t="s">
        <v>32</v>
      </c>
      <c r="O262" t="s">
        <v>32</v>
      </c>
      <c r="P262" t="s">
        <v>33</v>
      </c>
      <c r="Q262" t="s">
        <v>1038</v>
      </c>
      <c r="R262" s="3">
        <v>10</v>
      </c>
      <c r="S262" t="s">
        <v>32</v>
      </c>
      <c r="T262" s="1">
        <v>45015.532858796294</v>
      </c>
      <c r="U262" s="1">
        <v>45428.72111111111</v>
      </c>
      <c r="V262" s="2" t="s">
        <v>1039</v>
      </c>
    </row>
    <row r="263" spans="1:22" hidden="1" x14ac:dyDescent="0.45">
      <c r="A263" t="s">
        <v>991</v>
      </c>
      <c r="B263" t="s">
        <v>22</v>
      </c>
      <c r="C263" t="s">
        <v>1040</v>
      </c>
      <c r="D263" t="s">
        <v>767</v>
      </c>
      <c r="F263" t="s">
        <v>76</v>
      </c>
      <c r="G263" t="s">
        <v>26</v>
      </c>
      <c r="H263" t="s">
        <v>27</v>
      </c>
      <c r="I263" t="s">
        <v>28</v>
      </c>
      <c r="J263" t="s">
        <v>29</v>
      </c>
      <c r="K263" t="s">
        <v>30</v>
      </c>
      <c r="L263" t="s">
        <v>31</v>
      </c>
      <c r="M263" t="s">
        <v>32</v>
      </c>
      <c r="N263" t="s">
        <v>32</v>
      </c>
      <c r="O263" t="s">
        <v>32</v>
      </c>
      <c r="P263" t="s">
        <v>33</v>
      </c>
      <c r="Q263" t="s">
        <v>1041</v>
      </c>
      <c r="R263" s="3">
        <v>3</v>
      </c>
      <c r="S263" t="s">
        <v>32</v>
      </c>
      <c r="T263" s="1">
        <v>45015.532858796294</v>
      </c>
      <c r="U263" s="1">
        <v>45428.537314814814</v>
      </c>
      <c r="V263" s="2" t="s">
        <v>1042</v>
      </c>
    </row>
    <row r="264" spans="1:22" hidden="1" x14ac:dyDescent="0.45">
      <c r="A264" t="s">
        <v>991</v>
      </c>
      <c r="B264" t="s">
        <v>22</v>
      </c>
      <c r="C264" t="s">
        <v>1043</v>
      </c>
      <c r="D264" t="s">
        <v>771</v>
      </c>
      <c r="F264" t="s">
        <v>233</v>
      </c>
      <c r="G264" t="s">
        <v>26</v>
      </c>
      <c r="H264" t="s">
        <v>27</v>
      </c>
      <c r="I264" t="s">
        <v>28</v>
      </c>
      <c r="J264" t="s">
        <v>29</v>
      </c>
      <c r="K264" t="s">
        <v>30</v>
      </c>
      <c r="L264" t="s">
        <v>31</v>
      </c>
      <c r="M264" t="s">
        <v>32</v>
      </c>
      <c r="N264" t="s">
        <v>32</v>
      </c>
      <c r="O264" t="s">
        <v>32</v>
      </c>
      <c r="P264" t="s">
        <v>33</v>
      </c>
      <c r="Q264" t="s">
        <v>1044</v>
      </c>
      <c r="R264" s="3">
        <v>3</v>
      </c>
      <c r="S264" t="s">
        <v>32</v>
      </c>
      <c r="T264" s="1">
        <v>45015.532858796294</v>
      </c>
      <c r="U264" s="1">
        <v>45545.703611111108</v>
      </c>
      <c r="V264" s="2" t="s">
        <v>1045</v>
      </c>
    </row>
    <row r="265" spans="1:22" hidden="1" x14ac:dyDescent="0.45">
      <c r="A265" t="s">
        <v>991</v>
      </c>
      <c r="B265" t="s">
        <v>22</v>
      </c>
      <c r="C265" t="s">
        <v>1046</v>
      </c>
      <c r="D265" t="s">
        <v>443</v>
      </c>
      <c r="F265" t="s">
        <v>71</v>
      </c>
      <c r="G265" t="s">
        <v>26</v>
      </c>
      <c r="H265" t="s">
        <v>27</v>
      </c>
      <c r="I265" t="s">
        <v>28</v>
      </c>
      <c r="J265" t="s">
        <v>29</v>
      </c>
      <c r="K265" t="s">
        <v>30</v>
      </c>
      <c r="L265" t="s">
        <v>31</v>
      </c>
      <c r="M265" t="s">
        <v>32</v>
      </c>
      <c r="N265" t="s">
        <v>32</v>
      </c>
      <c r="O265" t="s">
        <v>32</v>
      </c>
      <c r="P265" t="s">
        <v>33</v>
      </c>
      <c r="Q265" t="s">
        <v>1047</v>
      </c>
      <c r="R265" s="3">
        <v>5</v>
      </c>
      <c r="S265" t="s">
        <v>32</v>
      </c>
      <c r="T265" s="1">
        <v>45015.532858796294</v>
      </c>
      <c r="U265" s="1">
        <v>45428.721805555557</v>
      </c>
      <c r="V265" s="2" t="s">
        <v>1048</v>
      </c>
    </row>
    <row r="266" spans="1:22" hidden="1" x14ac:dyDescent="0.45">
      <c r="A266" t="s">
        <v>991</v>
      </c>
      <c r="B266" t="s">
        <v>22</v>
      </c>
      <c r="C266" t="s">
        <v>1049</v>
      </c>
      <c r="D266" t="s">
        <v>106</v>
      </c>
      <c r="F266" t="s">
        <v>25</v>
      </c>
      <c r="G266" t="s">
        <v>26</v>
      </c>
      <c r="H266" t="s">
        <v>27</v>
      </c>
      <c r="I266" t="s">
        <v>28</v>
      </c>
      <c r="J266" t="s">
        <v>29</v>
      </c>
      <c r="K266" t="s">
        <v>30</v>
      </c>
      <c r="L266" t="s">
        <v>31</v>
      </c>
      <c r="M266" t="s">
        <v>32</v>
      </c>
      <c r="N266" t="s">
        <v>32</v>
      </c>
      <c r="O266" t="s">
        <v>32</v>
      </c>
      <c r="P266" t="s">
        <v>33</v>
      </c>
      <c r="Q266" t="s">
        <v>1050</v>
      </c>
      <c r="R266" s="3">
        <v>10</v>
      </c>
      <c r="S266" t="s">
        <v>32</v>
      </c>
      <c r="T266" s="1">
        <v>45547.424571759257</v>
      </c>
      <c r="U266" s="1">
        <v>45547.424837962964</v>
      </c>
      <c r="V266" s="2" t="s">
        <v>1051</v>
      </c>
    </row>
    <row r="267" spans="1:22" hidden="1" x14ac:dyDescent="0.45">
      <c r="A267" t="s">
        <v>991</v>
      </c>
      <c r="B267" t="s">
        <v>22</v>
      </c>
      <c r="C267" t="s">
        <v>1052</v>
      </c>
      <c r="D267" t="s">
        <v>110</v>
      </c>
      <c r="F267" t="s">
        <v>25</v>
      </c>
      <c r="G267" t="s">
        <v>26</v>
      </c>
      <c r="H267" t="s">
        <v>27</v>
      </c>
      <c r="I267" t="s">
        <v>28</v>
      </c>
      <c r="J267" t="s">
        <v>29</v>
      </c>
      <c r="K267" t="s">
        <v>30</v>
      </c>
      <c r="L267" t="s">
        <v>31</v>
      </c>
      <c r="M267" t="s">
        <v>32</v>
      </c>
      <c r="N267" t="s">
        <v>32</v>
      </c>
      <c r="O267" t="s">
        <v>32</v>
      </c>
      <c r="P267" t="s">
        <v>33</v>
      </c>
      <c r="Q267" t="s">
        <v>1053</v>
      </c>
      <c r="R267" s="3" t="s">
        <v>32</v>
      </c>
      <c r="S267" t="s">
        <v>32</v>
      </c>
      <c r="T267" s="1">
        <v>45015.532858796294</v>
      </c>
      <c r="U267" s="1">
        <v>45426.642256944448</v>
      </c>
      <c r="V267" s="2" t="s">
        <v>1054</v>
      </c>
    </row>
    <row r="268" spans="1:22" hidden="1" x14ac:dyDescent="0.45">
      <c r="A268" t="s">
        <v>991</v>
      </c>
      <c r="B268" t="s">
        <v>22</v>
      </c>
      <c r="C268" t="s">
        <v>1055</v>
      </c>
      <c r="D268" t="s">
        <v>122</v>
      </c>
      <c r="F268" t="s">
        <v>25</v>
      </c>
      <c r="G268" t="s">
        <v>26</v>
      </c>
      <c r="H268" t="s">
        <v>27</v>
      </c>
      <c r="I268" t="s">
        <v>28</v>
      </c>
      <c r="J268" t="s">
        <v>29</v>
      </c>
      <c r="K268" t="s">
        <v>30</v>
      </c>
      <c r="L268" t="s">
        <v>31</v>
      </c>
      <c r="M268" t="s">
        <v>32</v>
      </c>
      <c r="N268" t="s">
        <v>32</v>
      </c>
      <c r="O268" t="s">
        <v>32</v>
      </c>
      <c r="P268" t="s">
        <v>33</v>
      </c>
      <c r="Q268" t="s">
        <v>1056</v>
      </c>
      <c r="R268" s="3">
        <v>5</v>
      </c>
      <c r="S268" t="s">
        <v>32</v>
      </c>
      <c r="T268" s="1">
        <v>45547.423715277779</v>
      </c>
      <c r="U268" s="1">
        <v>45547.42391203704</v>
      </c>
      <c r="V268" s="2" t="s">
        <v>1057</v>
      </c>
    </row>
    <row r="269" spans="1:22" hidden="1" x14ac:dyDescent="0.45">
      <c r="A269" t="s">
        <v>991</v>
      </c>
      <c r="B269" t="s">
        <v>22</v>
      </c>
      <c r="C269" t="s">
        <v>1058</v>
      </c>
      <c r="D269" t="s">
        <v>778</v>
      </c>
      <c r="F269" t="s">
        <v>25</v>
      </c>
      <c r="G269" t="s">
        <v>26</v>
      </c>
      <c r="H269" t="s">
        <v>27</v>
      </c>
      <c r="I269" t="s">
        <v>28</v>
      </c>
      <c r="J269" t="s">
        <v>29</v>
      </c>
      <c r="K269" t="s">
        <v>30</v>
      </c>
      <c r="L269" t="s">
        <v>31</v>
      </c>
      <c r="M269" t="s">
        <v>32</v>
      </c>
      <c r="N269" t="s">
        <v>32</v>
      </c>
      <c r="O269" t="s">
        <v>32</v>
      </c>
      <c r="P269" t="s">
        <v>33</v>
      </c>
      <c r="Q269" t="s">
        <v>1059</v>
      </c>
      <c r="R269" s="3" t="s">
        <v>32</v>
      </c>
      <c r="S269" t="s">
        <v>32</v>
      </c>
      <c r="T269" s="1">
        <v>45434.663703703707</v>
      </c>
      <c r="U269" s="1">
        <v>45435.697511574072</v>
      </c>
      <c r="V269" s="2" t="s">
        <v>1060</v>
      </c>
    </row>
    <row r="270" spans="1:22" hidden="1" x14ac:dyDescent="0.45">
      <c r="A270" t="s">
        <v>991</v>
      </c>
      <c r="B270" t="s">
        <v>22</v>
      </c>
      <c r="C270" t="s">
        <v>1061</v>
      </c>
      <c r="D270" t="s">
        <v>1062</v>
      </c>
      <c r="F270" t="s">
        <v>25</v>
      </c>
      <c r="G270" t="s">
        <v>26</v>
      </c>
      <c r="H270" t="s">
        <v>27</v>
      </c>
      <c r="I270" t="s">
        <v>28</v>
      </c>
      <c r="J270" t="s">
        <v>29</v>
      </c>
      <c r="K270" t="s">
        <v>30</v>
      </c>
      <c r="L270" t="s">
        <v>31</v>
      </c>
      <c r="M270" t="s">
        <v>32</v>
      </c>
      <c r="N270" t="s">
        <v>32</v>
      </c>
      <c r="O270" t="s">
        <v>32</v>
      </c>
      <c r="P270" t="s">
        <v>33</v>
      </c>
      <c r="Q270" t="s">
        <v>1063</v>
      </c>
      <c r="R270" s="3" t="s">
        <v>32</v>
      </c>
      <c r="S270" t="s">
        <v>32</v>
      </c>
      <c r="T270" s="1">
        <v>45015.532858796294</v>
      </c>
      <c r="U270" s="1">
        <v>45426.642696759256</v>
      </c>
      <c r="V270" s="2" t="s">
        <v>1064</v>
      </c>
    </row>
    <row r="271" spans="1:22" hidden="1" x14ac:dyDescent="0.45">
      <c r="A271" t="s">
        <v>991</v>
      </c>
      <c r="B271" t="s">
        <v>22</v>
      </c>
      <c r="C271" t="s">
        <v>1065</v>
      </c>
      <c r="D271" t="s">
        <v>1066</v>
      </c>
      <c r="F271" t="s">
        <v>187</v>
      </c>
      <c r="G271" t="s">
        <v>26</v>
      </c>
      <c r="H271" t="s">
        <v>27</v>
      </c>
      <c r="I271" t="s">
        <v>28</v>
      </c>
      <c r="J271" t="s">
        <v>29</v>
      </c>
      <c r="K271" t="s">
        <v>30</v>
      </c>
      <c r="L271" t="s">
        <v>31</v>
      </c>
      <c r="M271" t="s">
        <v>32</v>
      </c>
      <c r="N271" t="s">
        <v>32</v>
      </c>
      <c r="O271" t="s">
        <v>32</v>
      </c>
      <c r="P271" t="s">
        <v>33</v>
      </c>
      <c r="Q271" t="s">
        <v>1067</v>
      </c>
      <c r="R271" s="3" t="s">
        <v>32</v>
      </c>
      <c r="S271" t="s">
        <v>32</v>
      </c>
      <c r="T271" s="1">
        <v>45015.532858796294</v>
      </c>
      <c r="U271" s="1">
        <v>45426.644120370373</v>
      </c>
      <c r="V271" s="2" t="s">
        <v>1068</v>
      </c>
    </row>
    <row r="272" spans="1:22" hidden="1" x14ac:dyDescent="0.45">
      <c r="A272" t="s">
        <v>991</v>
      </c>
      <c r="B272" t="s">
        <v>22</v>
      </c>
      <c r="C272" t="s">
        <v>1069</v>
      </c>
      <c r="D272" t="s">
        <v>447</v>
      </c>
      <c r="F272" t="s">
        <v>56</v>
      </c>
      <c r="G272" t="s">
        <v>26</v>
      </c>
      <c r="H272" t="s">
        <v>27</v>
      </c>
      <c r="I272" t="s">
        <v>28</v>
      </c>
      <c r="J272" t="s">
        <v>29</v>
      </c>
      <c r="K272" t="s">
        <v>30</v>
      </c>
      <c r="L272" t="s">
        <v>31</v>
      </c>
      <c r="M272" t="s">
        <v>32</v>
      </c>
      <c r="N272" t="s">
        <v>32</v>
      </c>
      <c r="O272" t="s">
        <v>32</v>
      </c>
      <c r="P272" t="s">
        <v>33</v>
      </c>
      <c r="Q272" t="s">
        <v>1070</v>
      </c>
      <c r="R272" s="3" t="s">
        <v>32</v>
      </c>
      <c r="S272" t="s">
        <v>32</v>
      </c>
      <c r="T272" s="1">
        <v>45015.532858796294</v>
      </c>
      <c r="U272" s="1">
        <v>45426.64439814815</v>
      </c>
      <c r="V272" s="2" t="s">
        <v>1071</v>
      </c>
    </row>
    <row r="273" spans="1:22" hidden="1" x14ac:dyDescent="0.45">
      <c r="A273" t="s">
        <v>991</v>
      </c>
      <c r="B273" t="s">
        <v>22</v>
      </c>
      <c r="C273" t="s">
        <v>1072</v>
      </c>
      <c r="D273" t="s">
        <v>142</v>
      </c>
      <c r="F273" t="s">
        <v>25</v>
      </c>
      <c r="G273" t="s">
        <v>26</v>
      </c>
      <c r="H273" t="s">
        <v>27</v>
      </c>
      <c r="I273" t="s">
        <v>28</v>
      </c>
      <c r="J273" t="s">
        <v>29</v>
      </c>
      <c r="K273" t="s">
        <v>30</v>
      </c>
      <c r="L273" t="s">
        <v>31</v>
      </c>
      <c r="M273" t="s">
        <v>32</v>
      </c>
      <c r="N273" t="s">
        <v>32</v>
      </c>
      <c r="O273" t="s">
        <v>32</v>
      </c>
      <c r="P273" t="s">
        <v>33</v>
      </c>
      <c r="Q273" t="s">
        <v>1073</v>
      </c>
      <c r="R273" s="3">
        <v>3</v>
      </c>
      <c r="S273" t="s">
        <v>32</v>
      </c>
      <c r="T273" s="1">
        <v>45015.532858796294</v>
      </c>
      <c r="U273" s="1">
        <v>45428.723020833335</v>
      </c>
      <c r="V273" s="2" t="s">
        <v>1074</v>
      </c>
    </row>
    <row r="274" spans="1:22" hidden="1" x14ac:dyDescent="0.45">
      <c r="A274" t="s">
        <v>991</v>
      </c>
      <c r="B274" t="s">
        <v>22</v>
      </c>
      <c r="C274" t="s">
        <v>1075</v>
      </c>
      <c r="D274" t="s">
        <v>458</v>
      </c>
      <c r="F274" t="s">
        <v>25</v>
      </c>
      <c r="G274" t="s">
        <v>26</v>
      </c>
      <c r="H274" t="s">
        <v>27</v>
      </c>
      <c r="I274" t="s">
        <v>28</v>
      </c>
      <c r="J274" t="s">
        <v>29</v>
      </c>
      <c r="K274" t="s">
        <v>30</v>
      </c>
      <c r="L274" t="s">
        <v>31</v>
      </c>
      <c r="M274" t="s">
        <v>32</v>
      </c>
      <c r="N274" t="s">
        <v>32</v>
      </c>
      <c r="O274" t="s">
        <v>32</v>
      </c>
      <c r="P274" t="s">
        <v>33</v>
      </c>
      <c r="Q274" t="s">
        <v>1076</v>
      </c>
      <c r="R274" s="3">
        <v>3</v>
      </c>
      <c r="S274" t="s">
        <v>32</v>
      </c>
      <c r="T274" s="1">
        <v>45015.532858796294</v>
      </c>
      <c r="U274" s="1">
        <v>45441.488159722219</v>
      </c>
      <c r="V274" s="2" t="s">
        <v>1077</v>
      </c>
    </row>
    <row r="275" spans="1:22" hidden="1" x14ac:dyDescent="0.45">
      <c r="A275" t="s">
        <v>991</v>
      </c>
      <c r="B275" t="s">
        <v>22</v>
      </c>
      <c r="C275" t="s">
        <v>1078</v>
      </c>
      <c r="D275" t="s">
        <v>462</v>
      </c>
      <c r="F275" t="s">
        <v>25</v>
      </c>
      <c r="G275" t="s">
        <v>26</v>
      </c>
      <c r="H275" t="s">
        <v>27</v>
      </c>
      <c r="I275" t="s">
        <v>28</v>
      </c>
      <c r="J275" t="s">
        <v>29</v>
      </c>
      <c r="K275" t="s">
        <v>30</v>
      </c>
      <c r="L275" t="s">
        <v>31</v>
      </c>
      <c r="M275" t="s">
        <v>32</v>
      </c>
      <c r="N275" t="s">
        <v>32</v>
      </c>
      <c r="O275" t="s">
        <v>32</v>
      </c>
      <c r="P275" t="s">
        <v>33</v>
      </c>
      <c r="Q275" t="s">
        <v>1079</v>
      </c>
      <c r="R275" s="3">
        <v>3</v>
      </c>
      <c r="S275" t="s">
        <v>32</v>
      </c>
      <c r="T275" s="1">
        <v>45015.532858796294</v>
      </c>
      <c r="U275" s="1">
        <v>45428.722060185188</v>
      </c>
      <c r="V275" s="2" t="s">
        <v>1080</v>
      </c>
    </row>
    <row r="276" spans="1:22" hidden="1" x14ac:dyDescent="0.45">
      <c r="A276" t="s">
        <v>991</v>
      </c>
      <c r="B276" t="s">
        <v>22</v>
      </c>
      <c r="C276" t="s">
        <v>1081</v>
      </c>
      <c r="D276" t="s">
        <v>162</v>
      </c>
      <c r="F276" t="s">
        <v>25</v>
      </c>
      <c r="G276" t="s">
        <v>26</v>
      </c>
      <c r="H276" t="s">
        <v>27</v>
      </c>
      <c r="I276" t="s">
        <v>28</v>
      </c>
      <c r="J276" t="s">
        <v>29</v>
      </c>
      <c r="K276" t="s">
        <v>30</v>
      </c>
      <c r="L276" t="s">
        <v>31</v>
      </c>
      <c r="M276" t="s">
        <v>32</v>
      </c>
      <c r="N276" t="s">
        <v>32</v>
      </c>
      <c r="O276" t="s">
        <v>32</v>
      </c>
      <c r="P276" t="s">
        <v>33</v>
      </c>
      <c r="Q276" t="s">
        <v>1082</v>
      </c>
      <c r="R276" s="3">
        <v>5</v>
      </c>
      <c r="S276" t="s">
        <v>32</v>
      </c>
      <c r="T276" s="1">
        <v>45015.532858796294</v>
      </c>
      <c r="U276" s="1">
        <v>45428.723946759259</v>
      </c>
      <c r="V276" s="2" t="s">
        <v>1083</v>
      </c>
    </row>
    <row r="277" spans="1:22" hidden="1" x14ac:dyDescent="0.45">
      <c r="A277" t="s">
        <v>991</v>
      </c>
      <c r="B277" t="s">
        <v>22</v>
      </c>
      <c r="C277" t="s">
        <v>1084</v>
      </c>
      <c r="D277" t="s">
        <v>469</v>
      </c>
      <c r="F277" t="s">
        <v>71</v>
      </c>
      <c r="G277" t="s">
        <v>26</v>
      </c>
      <c r="H277" t="s">
        <v>27</v>
      </c>
      <c r="I277" t="s">
        <v>28</v>
      </c>
      <c r="J277" t="s">
        <v>29</v>
      </c>
      <c r="K277" t="s">
        <v>30</v>
      </c>
      <c r="L277" t="s">
        <v>31</v>
      </c>
      <c r="M277" t="s">
        <v>32</v>
      </c>
      <c r="N277" t="s">
        <v>32</v>
      </c>
      <c r="O277" t="s">
        <v>32</v>
      </c>
      <c r="P277" t="s">
        <v>33</v>
      </c>
      <c r="Q277" t="s">
        <v>1085</v>
      </c>
      <c r="R277" s="3">
        <v>10</v>
      </c>
      <c r="S277" t="s">
        <v>32</v>
      </c>
      <c r="T277" s="1">
        <v>45015.532858796294</v>
      </c>
      <c r="U277" s="1">
        <v>45441.490115740744</v>
      </c>
      <c r="V277" s="2" t="s">
        <v>1086</v>
      </c>
    </row>
    <row r="278" spans="1:22" hidden="1" x14ac:dyDescent="0.45">
      <c r="A278" t="s">
        <v>991</v>
      </c>
      <c r="B278" t="s">
        <v>22</v>
      </c>
      <c r="C278" t="s">
        <v>1087</v>
      </c>
      <c r="D278" t="s">
        <v>166</v>
      </c>
      <c r="F278" t="s">
        <v>25</v>
      </c>
      <c r="G278" t="s">
        <v>26</v>
      </c>
      <c r="H278" t="s">
        <v>27</v>
      </c>
      <c r="I278" t="s">
        <v>28</v>
      </c>
      <c r="J278" t="s">
        <v>29</v>
      </c>
      <c r="K278" t="s">
        <v>30</v>
      </c>
      <c r="L278" t="s">
        <v>31</v>
      </c>
      <c r="M278" t="s">
        <v>32</v>
      </c>
      <c r="N278" t="s">
        <v>32</v>
      </c>
      <c r="O278" t="s">
        <v>32</v>
      </c>
      <c r="P278" t="s">
        <v>33</v>
      </c>
      <c r="Q278" t="s">
        <v>1088</v>
      </c>
      <c r="R278" s="3">
        <v>3</v>
      </c>
      <c r="S278" t="s">
        <v>32</v>
      </c>
      <c r="T278" s="1">
        <v>45015.532870370371</v>
      </c>
      <c r="U278" s="1">
        <v>45428.537361111114</v>
      </c>
      <c r="V278" s="2" t="s">
        <v>1089</v>
      </c>
    </row>
    <row r="279" spans="1:22" hidden="1" x14ac:dyDescent="0.45">
      <c r="A279" t="s">
        <v>991</v>
      </c>
      <c r="B279" t="s">
        <v>22</v>
      </c>
      <c r="C279" t="s">
        <v>1090</v>
      </c>
      <c r="D279" t="s">
        <v>170</v>
      </c>
      <c r="F279" t="s">
        <v>25</v>
      </c>
      <c r="G279" t="s">
        <v>26</v>
      </c>
      <c r="H279" t="s">
        <v>27</v>
      </c>
      <c r="I279" t="s">
        <v>28</v>
      </c>
      <c r="J279" t="s">
        <v>29</v>
      </c>
      <c r="K279" t="s">
        <v>30</v>
      </c>
      <c r="L279" t="s">
        <v>31</v>
      </c>
      <c r="M279" t="s">
        <v>32</v>
      </c>
      <c r="N279" t="s">
        <v>32</v>
      </c>
      <c r="O279" t="s">
        <v>32</v>
      </c>
      <c r="P279" t="s">
        <v>33</v>
      </c>
      <c r="Q279" t="s">
        <v>1091</v>
      </c>
      <c r="R279" s="3">
        <v>15</v>
      </c>
      <c r="S279" t="s">
        <v>32</v>
      </c>
      <c r="T279" s="1">
        <v>45015.532870370371</v>
      </c>
      <c r="U279" s="1">
        <v>45526.657766203702</v>
      </c>
      <c r="V279" s="2" t="s">
        <v>1092</v>
      </c>
    </row>
    <row r="280" spans="1:22" hidden="1" x14ac:dyDescent="0.45">
      <c r="A280" t="s">
        <v>991</v>
      </c>
      <c r="B280" t="s">
        <v>22</v>
      </c>
      <c r="C280" t="s">
        <v>1093</v>
      </c>
      <c r="D280" t="s">
        <v>174</v>
      </c>
      <c r="F280" t="s">
        <v>25</v>
      </c>
      <c r="G280" t="s">
        <v>26</v>
      </c>
      <c r="H280" t="s">
        <v>27</v>
      </c>
      <c r="I280" t="s">
        <v>28</v>
      </c>
      <c r="J280" t="s">
        <v>29</v>
      </c>
      <c r="K280" t="s">
        <v>30</v>
      </c>
      <c r="L280" t="s">
        <v>31</v>
      </c>
      <c r="M280" t="s">
        <v>32</v>
      </c>
      <c r="N280" t="s">
        <v>32</v>
      </c>
      <c r="O280" t="s">
        <v>32</v>
      </c>
      <c r="P280" t="s">
        <v>33</v>
      </c>
      <c r="Q280" t="s">
        <v>1094</v>
      </c>
      <c r="R280" s="3">
        <v>15</v>
      </c>
      <c r="S280" t="s">
        <v>32</v>
      </c>
      <c r="T280" s="1">
        <v>45015.532870370371</v>
      </c>
      <c r="U280" s="1">
        <v>45441.489421296297</v>
      </c>
      <c r="V280" s="2" t="s">
        <v>1095</v>
      </c>
    </row>
    <row r="281" spans="1:22" hidden="1" x14ac:dyDescent="0.45">
      <c r="A281" t="s">
        <v>991</v>
      </c>
      <c r="B281" t="s">
        <v>22</v>
      </c>
      <c r="C281" t="s">
        <v>1096</v>
      </c>
      <c r="D281" t="s">
        <v>178</v>
      </c>
      <c r="F281" t="s">
        <v>25</v>
      </c>
      <c r="G281" t="s">
        <v>26</v>
      </c>
      <c r="H281" t="s">
        <v>27</v>
      </c>
      <c r="I281" t="s">
        <v>28</v>
      </c>
      <c r="J281" t="s">
        <v>29</v>
      </c>
      <c r="K281" t="s">
        <v>30</v>
      </c>
      <c r="L281" t="s">
        <v>31</v>
      </c>
      <c r="M281" t="s">
        <v>32</v>
      </c>
      <c r="N281" t="s">
        <v>32</v>
      </c>
      <c r="O281" t="s">
        <v>32</v>
      </c>
      <c r="P281" t="s">
        <v>33</v>
      </c>
      <c r="Q281" t="s">
        <v>1097</v>
      </c>
      <c r="R281" s="3">
        <v>5</v>
      </c>
      <c r="S281" t="s">
        <v>32</v>
      </c>
      <c r="T281" s="1">
        <v>45547.426307870373</v>
      </c>
      <c r="U281" s="1">
        <v>45547.426620370374</v>
      </c>
      <c r="V281" s="2" t="s">
        <v>1098</v>
      </c>
    </row>
    <row r="282" spans="1:22" hidden="1" x14ac:dyDescent="0.45">
      <c r="A282" t="s">
        <v>991</v>
      </c>
      <c r="B282" t="s">
        <v>22</v>
      </c>
      <c r="C282" t="s">
        <v>1099</v>
      </c>
      <c r="D282" t="s">
        <v>182</v>
      </c>
      <c r="F282" t="s">
        <v>25</v>
      </c>
      <c r="G282" t="s">
        <v>26</v>
      </c>
      <c r="H282" t="s">
        <v>27</v>
      </c>
      <c r="I282" t="s">
        <v>28</v>
      </c>
      <c r="J282" t="s">
        <v>29</v>
      </c>
      <c r="K282" t="s">
        <v>30</v>
      </c>
      <c r="L282" t="s">
        <v>31</v>
      </c>
      <c r="M282" t="s">
        <v>32</v>
      </c>
      <c r="N282" t="s">
        <v>32</v>
      </c>
      <c r="O282" t="s">
        <v>32</v>
      </c>
      <c r="P282" t="s">
        <v>33</v>
      </c>
      <c r="Q282" t="s">
        <v>1100</v>
      </c>
      <c r="R282" s="3" t="s">
        <v>32</v>
      </c>
      <c r="S282" t="s">
        <v>32</v>
      </c>
      <c r="T282" s="1">
        <v>45015.532870370371</v>
      </c>
      <c r="U282" s="1">
        <v>45426.653912037036</v>
      </c>
      <c r="V282" s="2" t="s">
        <v>1101</v>
      </c>
    </row>
    <row r="283" spans="1:22" hidden="1" x14ac:dyDescent="0.45">
      <c r="A283" t="s">
        <v>991</v>
      </c>
      <c r="B283" t="s">
        <v>22</v>
      </c>
      <c r="C283" t="s">
        <v>1102</v>
      </c>
      <c r="D283" t="s">
        <v>821</v>
      </c>
      <c r="F283" t="s">
        <v>71</v>
      </c>
      <c r="G283" t="s">
        <v>26</v>
      </c>
      <c r="H283" t="s">
        <v>27</v>
      </c>
      <c r="I283" t="s">
        <v>28</v>
      </c>
      <c r="J283" t="s">
        <v>29</v>
      </c>
      <c r="K283" t="s">
        <v>30</v>
      </c>
      <c r="L283" t="s">
        <v>31</v>
      </c>
      <c r="M283" t="s">
        <v>32</v>
      </c>
      <c r="N283" t="s">
        <v>32</v>
      </c>
      <c r="O283" t="s">
        <v>32</v>
      </c>
      <c r="P283" t="s">
        <v>33</v>
      </c>
      <c r="Q283" t="s">
        <v>1103</v>
      </c>
      <c r="R283" s="3" t="s">
        <v>32</v>
      </c>
      <c r="S283" t="s">
        <v>32</v>
      </c>
      <c r="T283" s="1">
        <v>45547.422256944446</v>
      </c>
      <c r="U283" s="1">
        <v>45547.42260416667</v>
      </c>
      <c r="V283" s="2" t="s">
        <v>1104</v>
      </c>
    </row>
    <row r="284" spans="1:22" hidden="1" x14ac:dyDescent="0.45">
      <c r="A284" t="s">
        <v>991</v>
      </c>
      <c r="B284" t="s">
        <v>22</v>
      </c>
      <c r="C284" t="s">
        <v>1105</v>
      </c>
      <c r="D284" t="s">
        <v>825</v>
      </c>
      <c r="F284" t="s">
        <v>71</v>
      </c>
      <c r="G284" t="s">
        <v>26</v>
      </c>
      <c r="H284" t="s">
        <v>27</v>
      </c>
      <c r="I284" t="s">
        <v>28</v>
      </c>
      <c r="J284" t="s">
        <v>29</v>
      </c>
      <c r="K284" t="s">
        <v>30</v>
      </c>
      <c r="L284" t="s">
        <v>31</v>
      </c>
      <c r="M284" t="s">
        <v>32</v>
      </c>
      <c r="N284" t="s">
        <v>32</v>
      </c>
      <c r="O284" t="s">
        <v>32</v>
      </c>
      <c r="P284" t="s">
        <v>33</v>
      </c>
      <c r="Q284" t="s">
        <v>1106</v>
      </c>
      <c r="R284" s="3" t="s">
        <v>32</v>
      </c>
      <c r="S284" t="s">
        <v>32</v>
      </c>
      <c r="T284" s="1">
        <v>45547.422256944446</v>
      </c>
      <c r="U284" s="1">
        <v>45547.42287037037</v>
      </c>
      <c r="V284" s="2" t="s">
        <v>1107</v>
      </c>
    </row>
    <row r="285" spans="1:22" hidden="1" x14ac:dyDescent="0.45">
      <c r="A285" t="s">
        <v>991</v>
      </c>
      <c r="B285" t="s">
        <v>22</v>
      </c>
      <c r="C285" t="s">
        <v>1108</v>
      </c>
      <c r="D285" t="s">
        <v>1109</v>
      </c>
      <c r="F285" t="s">
        <v>71</v>
      </c>
      <c r="G285" t="s">
        <v>26</v>
      </c>
      <c r="H285" t="s">
        <v>27</v>
      </c>
      <c r="I285" t="s">
        <v>28</v>
      </c>
      <c r="J285" t="s">
        <v>29</v>
      </c>
      <c r="K285" t="s">
        <v>30</v>
      </c>
      <c r="L285" t="s">
        <v>31</v>
      </c>
      <c r="M285" t="s">
        <v>32</v>
      </c>
      <c r="N285" t="s">
        <v>32</v>
      </c>
      <c r="O285" t="s">
        <v>32</v>
      </c>
      <c r="P285" t="s">
        <v>33</v>
      </c>
      <c r="Q285" t="s">
        <v>1110</v>
      </c>
      <c r="R285" s="3" t="s">
        <v>32</v>
      </c>
      <c r="S285" t="s">
        <v>32</v>
      </c>
      <c r="T285" s="1">
        <v>45436.658275462964</v>
      </c>
      <c r="U285" s="1">
        <v>45436.658275462964</v>
      </c>
      <c r="V285" s="2" t="s">
        <v>1111</v>
      </c>
    </row>
    <row r="286" spans="1:22" hidden="1" x14ac:dyDescent="0.45">
      <c r="A286" t="s">
        <v>991</v>
      </c>
      <c r="B286" t="s">
        <v>22</v>
      </c>
      <c r="C286" t="s">
        <v>1112</v>
      </c>
      <c r="D286" t="s">
        <v>495</v>
      </c>
      <c r="F286" t="s">
        <v>25</v>
      </c>
      <c r="G286" t="s">
        <v>26</v>
      </c>
      <c r="H286" t="s">
        <v>27</v>
      </c>
      <c r="I286" t="s">
        <v>28</v>
      </c>
      <c r="J286" t="s">
        <v>29</v>
      </c>
      <c r="K286" t="s">
        <v>30</v>
      </c>
      <c r="L286" t="s">
        <v>31</v>
      </c>
      <c r="M286" t="s">
        <v>32</v>
      </c>
      <c r="N286" t="s">
        <v>32</v>
      </c>
      <c r="O286" t="s">
        <v>32</v>
      </c>
      <c r="P286" t="s">
        <v>33</v>
      </c>
      <c r="Q286" t="s">
        <v>1113</v>
      </c>
      <c r="R286" s="3">
        <v>15</v>
      </c>
      <c r="S286" t="s">
        <v>32</v>
      </c>
      <c r="T286" s="1">
        <v>45546.621041666665</v>
      </c>
      <c r="U286" s="1">
        <v>45546.621458333335</v>
      </c>
      <c r="V286" s="2" t="s">
        <v>1114</v>
      </c>
    </row>
    <row r="287" spans="1:22" hidden="1" x14ac:dyDescent="0.45">
      <c r="A287" t="s">
        <v>991</v>
      </c>
      <c r="B287" t="s">
        <v>22</v>
      </c>
      <c r="C287" t="s">
        <v>1115</v>
      </c>
      <c r="D287" t="s">
        <v>210</v>
      </c>
      <c r="F287" t="s">
        <v>71</v>
      </c>
      <c r="G287" t="s">
        <v>26</v>
      </c>
      <c r="H287" t="s">
        <v>27</v>
      </c>
      <c r="I287" t="s">
        <v>28</v>
      </c>
      <c r="J287" t="s">
        <v>29</v>
      </c>
      <c r="K287" t="s">
        <v>30</v>
      </c>
      <c r="L287" t="s">
        <v>31</v>
      </c>
      <c r="M287" t="s">
        <v>32</v>
      </c>
      <c r="N287" t="s">
        <v>32</v>
      </c>
      <c r="O287" t="s">
        <v>32</v>
      </c>
      <c r="P287" t="s">
        <v>33</v>
      </c>
      <c r="Q287" t="s">
        <v>1116</v>
      </c>
      <c r="R287" s="3">
        <v>15</v>
      </c>
      <c r="S287" t="s">
        <v>32</v>
      </c>
      <c r="T287" s="1">
        <v>45434.657858796294</v>
      </c>
      <c r="U287" s="1">
        <v>45441.490752314814</v>
      </c>
      <c r="V287" s="2" t="s">
        <v>1117</v>
      </c>
    </row>
    <row r="288" spans="1:22" hidden="1" x14ac:dyDescent="0.45">
      <c r="A288" t="s">
        <v>991</v>
      </c>
      <c r="B288" t="s">
        <v>22</v>
      </c>
      <c r="C288" t="s">
        <v>1118</v>
      </c>
      <c r="D288" t="s">
        <v>522</v>
      </c>
      <c r="F288" t="s">
        <v>25</v>
      </c>
      <c r="G288" t="s">
        <v>26</v>
      </c>
      <c r="H288" t="s">
        <v>27</v>
      </c>
      <c r="I288" t="s">
        <v>28</v>
      </c>
      <c r="J288" t="s">
        <v>29</v>
      </c>
      <c r="K288" t="s">
        <v>30</v>
      </c>
      <c r="L288" t="s">
        <v>31</v>
      </c>
      <c r="M288" t="s">
        <v>32</v>
      </c>
      <c r="N288" t="s">
        <v>32</v>
      </c>
      <c r="O288" t="s">
        <v>32</v>
      </c>
      <c r="P288" t="s">
        <v>33</v>
      </c>
      <c r="Q288" t="s">
        <v>1119</v>
      </c>
      <c r="R288" s="3" t="s">
        <v>32</v>
      </c>
      <c r="S288" t="s">
        <v>32</v>
      </c>
      <c r="T288" s="1">
        <v>45547.453784722224</v>
      </c>
      <c r="U288" s="1">
        <v>45547.455034722225</v>
      </c>
      <c r="V288" s="2" t="s">
        <v>1120</v>
      </c>
    </row>
    <row r="289" spans="1:22" hidden="1" x14ac:dyDescent="0.45">
      <c r="A289" t="s">
        <v>991</v>
      </c>
      <c r="B289" t="s">
        <v>22</v>
      </c>
      <c r="C289" t="s">
        <v>1121</v>
      </c>
      <c r="D289" t="s">
        <v>1122</v>
      </c>
      <c r="F289" t="s">
        <v>71</v>
      </c>
      <c r="G289" t="s">
        <v>26</v>
      </c>
      <c r="H289" t="s">
        <v>27</v>
      </c>
      <c r="I289" t="s">
        <v>28</v>
      </c>
      <c r="J289" t="s">
        <v>29</v>
      </c>
      <c r="K289" t="s">
        <v>30</v>
      </c>
      <c r="L289" t="s">
        <v>31</v>
      </c>
      <c r="M289" t="s">
        <v>32</v>
      </c>
      <c r="N289" t="s">
        <v>32</v>
      </c>
      <c r="O289" t="s">
        <v>32</v>
      </c>
      <c r="P289" t="s">
        <v>33</v>
      </c>
      <c r="Q289" t="s">
        <v>1123</v>
      </c>
      <c r="R289" s="3" t="s">
        <v>32</v>
      </c>
      <c r="S289" t="s">
        <v>32</v>
      </c>
      <c r="T289" s="1">
        <v>45434.680439814816</v>
      </c>
      <c r="U289" s="1">
        <v>45435.699270833335</v>
      </c>
      <c r="V289" s="2" t="s">
        <v>1124</v>
      </c>
    </row>
    <row r="290" spans="1:22" hidden="1" x14ac:dyDescent="0.45">
      <c r="A290" t="s">
        <v>991</v>
      </c>
      <c r="B290" t="s">
        <v>22</v>
      </c>
      <c r="C290" t="s">
        <v>1125</v>
      </c>
      <c r="D290" t="s">
        <v>1126</v>
      </c>
      <c r="F290" t="s">
        <v>71</v>
      </c>
      <c r="G290" t="s">
        <v>26</v>
      </c>
      <c r="H290" t="s">
        <v>27</v>
      </c>
      <c r="I290" t="s">
        <v>28</v>
      </c>
      <c r="J290" t="s">
        <v>29</v>
      </c>
      <c r="K290" t="s">
        <v>30</v>
      </c>
      <c r="L290" t="s">
        <v>31</v>
      </c>
      <c r="M290" t="s">
        <v>32</v>
      </c>
      <c r="N290" t="s">
        <v>32</v>
      </c>
      <c r="O290" t="s">
        <v>32</v>
      </c>
      <c r="P290" t="s">
        <v>33</v>
      </c>
      <c r="Q290" t="s">
        <v>1127</v>
      </c>
      <c r="R290" s="3" t="s">
        <v>32</v>
      </c>
      <c r="S290" t="s">
        <v>32</v>
      </c>
      <c r="T290" s="1">
        <v>45434.681284722225</v>
      </c>
      <c r="U290" s="1">
        <v>45435.700057870374</v>
      </c>
      <c r="V290" s="2" t="s">
        <v>1128</v>
      </c>
    </row>
    <row r="291" spans="1:22" hidden="1" x14ac:dyDescent="0.45">
      <c r="A291" t="s">
        <v>991</v>
      </c>
      <c r="B291" t="s">
        <v>22</v>
      </c>
      <c r="C291" t="s">
        <v>1129</v>
      </c>
      <c r="D291" t="s">
        <v>1130</v>
      </c>
      <c r="F291" t="s">
        <v>187</v>
      </c>
      <c r="G291" t="s">
        <v>26</v>
      </c>
      <c r="H291" t="s">
        <v>27</v>
      </c>
      <c r="I291" t="s">
        <v>28</v>
      </c>
      <c r="J291" t="s">
        <v>29</v>
      </c>
      <c r="K291" t="s">
        <v>30</v>
      </c>
      <c r="L291" t="s">
        <v>31</v>
      </c>
      <c r="M291" t="s">
        <v>32</v>
      </c>
      <c r="N291" t="s">
        <v>32</v>
      </c>
      <c r="O291" t="s">
        <v>32</v>
      </c>
      <c r="P291" t="s">
        <v>33</v>
      </c>
      <c r="Q291" t="s">
        <v>1131</v>
      </c>
      <c r="R291" s="3" t="s">
        <v>32</v>
      </c>
      <c r="S291" t="s">
        <v>32</v>
      </c>
      <c r="T291" s="1">
        <v>45434.682002314818</v>
      </c>
      <c r="U291" s="1">
        <v>45435.700150462966</v>
      </c>
      <c r="V291" s="2" t="s">
        <v>1132</v>
      </c>
    </row>
    <row r="292" spans="1:22" hidden="1" x14ac:dyDescent="0.45">
      <c r="A292" t="s">
        <v>991</v>
      </c>
      <c r="B292" t="s">
        <v>22</v>
      </c>
      <c r="C292" t="s">
        <v>1133</v>
      </c>
      <c r="D292" t="s">
        <v>840</v>
      </c>
      <c r="F292" t="s">
        <v>71</v>
      </c>
      <c r="G292" t="s">
        <v>26</v>
      </c>
      <c r="H292" t="s">
        <v>27</v>
      </c>
      <c r="I292" t="s">
        <v>28</v>
      </c>
      <c r="J292" t="s">
        <v>29</v>
      </c>
      <c r="K292" t="s">
        <v>30</v>
      </c>
      <c r="L292" t="s">
        <v>31</v>
      </c>
      <c r="M292" t="s">
        <v>32</v>
      </c>
      <c r="N292" t="s">
        <v>32</v>
      </c>
      <c r="O292" t="s">
        <v>32</v>
      </c>
      <c r="P292" t="s">
        <v>33</v>
      </c>
      <c r="Q292" t="s">
        <v>1134</v>
      </c>
      <c r="R292" s="3">
        <v>5</v>
      </c>
      <c r="S292" t="s">
        <v>32</v>
      </c>
      <c r="T292" s="1">
        <v>45547.420972222222</v>
      </c>
      <c r="U292" s="1">
        <v>45547.421493055554</v>
      </c>
      <c r="V292" s="2" t="s">
        <v>1135</v>
      </c>
    </row>
    <row r="293" spans="1:22" hidden="1" x14ac:dyDescent="0.45">
      <c r="A293" t="s">
        <v>991</v>
      </c>
      <c r="B293" t="s">
        <v>22</v>
      </c>
      <c r="C293" t="s">
        <v>1136</v>
      </c>
      <c r="D293" t="s">
        <v>1137</v>
      </c>
      <c r="F293" t="s">
        <v>71</v>
      </c>
      <c r="G293" t="s">
        <v>26</v>
      </c>
      <c r="H293" t="s">
        <v>27</v>
      </c>
      <c r="I293" t="s">
        <v>28</v>
      </c>
      <c r="J293" t="s">
        <v>29</v>
      </c>
      <c r="K293" t="s">
        <v>30</v>
      </c>
      <c r="L293" t="s">
        <v>31</v>
      </c>
      <c r="M293" t="s">
        <v>32</v>
      </c>
      <c r="N293" t="s">
        <v>32</v>
      </c>
      <c r="O293" t="s">
        <v>32</v>
      </c>
      <c r="P293" t="s">
        <v>33</v>
      </c>
      <c r="Q293" t="s">
        <v>1138</v>
      </c>
      <c r="R293" s="3" t="s">
        <v>32</v>
      </c>
      <c r="S293" t="s">
        <v>32</v>
      </c>
      <c r="T293" s="1">
        <v>45547.443240740744</v>
      </c>
      <c r="U293" s="1">
        <v>45547.443240740744</v>
      </c>
      <c r="V293" s="2" t="s">
        <v>1139</v>
      </c>
    </row>
    <row r="294" spans="1:22" hidden="1" x14ac:dyDescent="0.45">
      <c r="A294" t="s">
        <v>991</v>
      </c>
      <c r="B294" t="s">
        <v>22</v>
      </c>
      <c r="C294" t="s">
        <v>1140</v>
      </c>
      <c r="D294" t="s">
        <v>1141</v>
      </c>
      <c r="F294" t="s">
        <v>76</v>
      </c>
      <c r="G294" t="s">
        <v>26</v>
      </c>
      <c r="H294" t="s">
        <v>27</v>
      </c>
      <c r="I294" t="s">
        <v>28</v>
      </c>
      <c r="J294" t="s">
        <v>29</v>
      </c>
      <c r="K294" t="s">
        <v>30</v>
      </c>
      <c r="L294" t="s">
        <v>31</v>
      </c>
      <c r="M294" t="s">
        <v>32</v>
      </c>
      <c r="N294" t="s">
        <v>32</v>
      </c>
      <c r="O294" t="s">
        <v>32</v>
      </c>
      <c r="P294" t="s">
        <v>33</v>
      </c>
      <c r="Q294" t="s">
        <v>1142</v>
      </c>
      <c r="R294" s="3" t="s">
        <v>32</v>
      </c>
      <c r="S294" t="s">
        <v>32</v>
      </c>
      <c r="T294" s="1">
        <v>45547.451620370368</v>
      </c>
      <c r="U294" s="1">
        <v>45547.451620370368</v>
      </c>
      <c r="V294" s="2" t="s">
        <v>1143</v>
      </c>
    </row>
    <row r="295" spans="1:22" hidden="1" x14ac:dyDescent="0.45">
      <c r="A295" t="s">
        <v>991</v>
      </c>
      <c r="B295" t="s">
        <v>22</v>
      </c>
      <c r="C295" t="s">
        <v>1144</v>
      </c>
      <c r="D295" t="s">
        <v>1145</v>
      </c>
      <c r="F295" t="s">
        <v>76</v>
      </c>
      <c r="G295" t="s">
        <v>26</v>
      </c>
      <c r="H295" t="s">
        <v>27</v>
      </c>
      <c r="I295" t="s">
        <v>28</v>
      </c>
      <c r="J295" t="s">
        <v>29</v>
      </c>
      <c r="K295" t="s">
        <v>30</v>
      </c>
      <c r="L295" t="s">
        <v>31</v>
      </c>
      <c r="M295" t="s">
        <v>32</v>
      </c>
      <c r="N295" t="s">
        <v>32</v>
      </c>
      <c r="O295" t="s">
        <v>32</v>
      </c>
      <c r="P295" t="s">
        <v>33</v>
      </c>
      <c r="Q295" t="s">
        <v>1146</v>
      </c>
      <c r="R295" s="3" t="s">
        <v>32</v>
      </c>
      <c r="S295" t="s">
        <v>32</v>
      </c>
      <c r="T295" s="1">
        <v>45547.451805555553</v>
      </c>
      <c r="U295" s="1">
        <v>45547.452268518522</v>
      </c>
      <c r="V295" s="2" t="s">
        <v>1147</v>
      </c>
    </row>
    <row r="296" spans="1:22" hidden="1" x14ac:dyDescent="0.45">
      <c r="A296" t="s">
        <v>991</v>
      </c>
      <c r="B296" t="s">
        <v>213</v>
      </c>
      <c r="C296" t="s">
        <v>1148</v>
      </c>
      <c r="D296" t="s">
        <v>215</v>
      </c>
      <c r="F296" t="s">
        <v>76</v>
      </c>
      <c r="G296" t="s">
        <v>26</v>
      </c>
      <c r="H296" t="s">
        <v>27</v>
      </c>
      <c r="I296" t="s">
        <v>28</v>
      </c>
      <c r="J296" t="s">
        <v>216</v>
      </c>
      <c r="K296" t="s">
        <v>30</v>
      </c>
      <c r="L296" t="s">
        <v>31</v>
      </c>
      <c r="M296" t="s">
        <v>32</v>
      </c>
      <c r="N296" t="s">
        <v>32</v>
      </c>
      <c r="O296" t="s">
        <v>32</v>
      </c>
      <c r="P296" t="s">
        <v>33</v>
      </c>
      <c r="Q296" t="s">
        <v>1149</v>
      </c>
      <c r="R296" s="3">
        <v>10</v>
      </c>
      <c r="S296" t="s">
        <v>32</v>
      </c>
      <c r="T296" s="1">
        <v>45015.532870370371</v>
      </c>
      <c r="U296" s="1">
        <v>45551.612002314818</v>
      </c>
      <c r="V296" s="2" t="s">
        <v>1150</v>
      </c>
    </row>
    <row r="297" spans="1:22" hidden="1" x14ac:dyDescent="0.45">
      <c r="A297" t="s">
        <v>991</v>
      </c>
      <c r="B297" t="s">
        <v>213</v>
      </c>
      <c r="C297" t="s">
        <v>1151</v>
      </c>
      <c r="D297" t="s">
        <v>220</v>
      </c>
      <c r="F297" t="s">
        <v>76</v>
      </c>
      <c r="G297" t="s">
        <v>26</v>
      </c>
      <c r="H297" t="s">
        <v>27</v>
      </c>
      <c r="I297" t="s">
        <v>28</v>
      </c>
      <c r="J297" t="s">
        <v>216</v>
      </c>
      <c r="K297" t="s">
        <v>30</v>
      </c>
      <c r="L297" t="s">
        <v>31</v>
      </c>
      <c r="M297" t="s">
        <v>32</v>
      </c>
      <c r="N297" t="s">
        <v>32</v>
      </c>
      <c r="O297" t="s">
        <v>32</v>
      </c>
      <c r="P297" t="s">
        <v>33</v>
      </c>
      <c r="Q297" t="s">
        <v>1152</v>
      </c>
      <c r="R297" s="3" t="s">
        <v>32</v>
      </c>
      <c r="S297" t="s">
        <v>32</v>
      </c>
      <c r="T297" s="1">
        <v>45015.532870370371</v>
      </c>
      <c r="U297" s="1">
        <v>45423.686886574076</v>
      </c>
      <c r="V297" s="2" t="s">
        <v>1153</v>
      </c>
    </row>
    <row r="298" spans="1:22" hidden="1" x14ac:dyDescent="0.45">
      <c r="A298" t="s">
        <v>991</v>
      </c>
      <c r="B298" t="s">
        <v>213</v>
      </c>
      <c r="C298" t="s">
        <v>1154</v>
      </c>
      <c r="D298" t="s">
        <v>228</v>
      </c>
      <c r="F298" t="s">
        <v>102</v>
      </c>
      <c r="G298" t="s">
        <v>26</v>
      </c>
      <c r="H298" t="s">
        <v>27</v>
      </c>
      <c r="I298" t="s">
        <v>28</v>
      </c>
      <c r="J298" t="s">
        <v>216</v>
      </c>
      <c r="K298" t="s">
        <v>30</v>
      </c>
      <c r="L298" t="s">
        <v>31</v>
      </c>
      <c r="M298" t="s">
        <v>32</v>
      </c>
      <c r="N298" t="s">
        <v>32</v>
      </c>
      <c r="O298" t="s">
        <v>32</v>
      </c>
      <c r="P298" t="s">
        <v>33</v>
      </c>
      <c r="Q298" t="s">
        <v>1155</v>
      </c>
      <c r="R298" s="3">
        <v>5</v>
      </c>
      <c r="S298" t="s">
        <v>32</v>
      </c>
      <c r="T298" s="1">
        <v>45266.423530092594</v>
      </c>
      <c r="U298" s="1">
        <v>45441.487141203703</v>
      </c>
      <c r="V298" s="2" t="s">
        <v>1156</v>
      </c>
    </row>
    <row r="299" spans="1:22" hidden="1" x14ac:dyDescent="0.45">
      <c r="A299" t="s">
        <v>991</v>
      </c>
      <c r="B299" t="s">
        <v>59</v>
      </c>
      <c r="C299" t="s">
        <v>1157</v>
      </c>
      <c r="D299" t="s">
        <v>232</v>
      </c>
      <c r="F299" t="s">
        <v>233</v>
      </c>
      <c r="G299" t="s">
        <v>26</v>
      </c>
      <c r="H299" t="s">
        <v>62</v>
      </c>
      <c r="I299" t="s">
        <v>28</v>
      </c>
      <c r="J299" t="s">
        <v>32</v>
      </c>
      <c r="K299" t="s">
        <v>63</v>
      </c>
      <c r="L299" t="s">
        <v>64</v>
      </c>
      <c r="M299" t="s">
        <v>32</v>
      </c>
      <c r="N299" t="s">
        <v>32</v>
      </c>
      <c r="O299" t="s">
        <v>32</v>
      </c>
      <c r="P299" t="s">
        <v>32</v>
      </c>
      <c r="Q299" t="s">
        <v>1158</v>
      </c>
      <c r="R299" s="3" t="s">
        <v>32</v>
      </c>
      <c r="S299" t="s">
        <v>32</v>
      </c>
      <c r="T299" s="1">
        <v>45015.532870370371</v>
      </c>
      <c r="U299" s="1">
        <v>45426.655046296299</v>
      </c>
      <c r="V299" s="2" t="s">
        <v>1159</v>
      </c>
    </row>
    <row r="300" spans="1:22" hidden="1" x14ac:dyDescent="0.45">
      <c r="A300" t="s">
        <v>991</v>
      </c>
      <c r="B300" t="s">
        <v>59</v>
      </c>
      <c r="C300" t="s">
        <v>1160</v>
      </c>
      <c r="D300" t="s">
        <v>61</v>
      </c>
      <c r="F300" t="s">
        <v>233</v>
      </c>
      <c r="G300" t="s">
        <v>26</v>
      </c>
      <c r="H300" t="s">
        <v>62</v>
      </c>
      <c r="I300" t="s">
        <v>28</v>
      </c>
      <c r="J300" t="s">
        <v>32</v>
      </c>
      <c r="K300" t="s">
        <v>63</v>
      </c>
      <c r="L300" t="s">
        <v>64</v>
      </c>
      <c r="M300" t="s">
        <v>32</v>
      </c>
      <c r="N300" t="s">
        <v>32</v>
      </c>
      <c r="O300" t="s">
        <v>32</v>
      </c>
      <c r="P300" t="s">
        <v>32</v>
      </c>
      <c r="Q300" t="s">
        <v>1161</v>
      </c>
      <c r="R300" s="3" t="s">
        <v>32</v>
      </c>
      <c r="S300" t="s">
        <v>32</v>
      </c>
      <c r="T300" s="1">
        <v>45015.532870370371</v>
      </c>
      <c r="U300" s="1">
        <v>45426.657233796293</v>
      </c>
      <c r="V300" s="2" t="s">
        <v>1162</v>
      </c>
    </row>
    <row r="301" spans="1:22" hidden="1" x14ac:dyDescent="0.45">
      <c r="A301" t="s">
        <v>991</v>
      </c>
      <c r="B301" t="s">
        <v>59</v>
      </c>
      <c r="C301" t="s">
        <v>1163</v>
      </c>
      <c r="D301" t="s">
        <v>237</v>
      </c>
      <c r="F301" t="s">
        <v>233</v>
      </c>
      <c r="G301" t="s">
        <v>26</v>
      </c>
      <c r="H301" t="s">
        <v>62</v>
      </c>
      <c r="I301" t="s">
        <v>28</v>
      </c>
      <c r="J301" t="s">
        <v>32</v>
      </c>
      <c r="K301" t="s">
        <v>63</v>
      </c>
      <c r="L301" t="s">
        <v>64</v>
      </c>
      <c r="M301" t="s">
        <v>32</v>
      </c>
      <c r="N301" t="s">
        <v>32</v>
      </c>
      <c r="O301" t="s">
        <v>32</v>
      </c>
      <c r="P301" t="s">
        <v>32</v>
      </c>
      <c r="Q301" t="s">
        <v>1164</v>
      </c>
      <c r="R301" s="3" t="s">
        <v>32</v>
      </c>
      <c r="S301" t="s">
        <v>32</v>
      </c>
      <c r="T301" s="1">
        <v>45015.532870370371</v>
      </c>
      <c r="U301" s="1">
        <v>45426.657962962963</v>
      </c>
      <c r="V301" s="2" t="s">
        <v>1165</v>
      </c>
    </row>
    <row r="302" spans="1:22" hidden="1" x14ac:dyDescent="0.45">
      <c r="A302" t="s">
        <v>991</v>
      </c>
      <c r="B302" t="s">
        <v>59</v>
      </c>
      <c r="C302" t="s">
        <v>1166</v>
      </c>
      <c r="D302" t="s">
        <v>241</v>
      </c>
      <c r="F302" t="s">
        <v>102</v>
      </c>
      <c r="G302" t="s">
        <v>26</v>
      </c>
      <c r="H302" t="s">
        <v>62</v>
      </c>
      <c r="I302" t="s">
        <v>28</v>
      </c>
      <c r="J302" t="s">
        <v>32</v>
      </c>
      <c r="K302" t="s">
        <v>63</v>
      </c>
      <c r="L302" t="s">
        <v>64</v>
      </c>
      <c r="M302" t="s">
        <v>32</v>
      </c>
      <c r="N302" t="s">
        <v>32</v>
      </c>
      <c r="O302" t="s">
        <v>32</v>
      </c>
      <c r="P302" t="s">
        <v>32</v>
      </c>
      <c r="Q302" t="s">
        <v>1167</v>
      </c>
      <c r="R302" s="3" t="s">
        <v>32</v>
      </c>
      <c r="S302" t="s">
        <v>32</v>
      </c>
      <c r="T302" s="1">
        <v>45015.532870370371</v>
      </c>
      <c r="U302" s="1">
        <v>45426.658263888887</v>
      </c>
      <c r="V302" s="2" t="s">
        <v>1168</v>
      </c>
    </row>
    <row r="303" spans="1:22" hidden="1" x14ac:dyDescent="0.45">
      <c r="A303" t="s">
        <v>991</v>
      </c>
      <c r="B303" t="s">
        <v>59</v>
      </c>
      <c r="C303" t="s">
        <v>1169</v>
      </c>
      <c r="D303" t="s">
        <v>1170</v>
      </c>
      <c r="F303" t="s">
        <v>233</v>
      </c>
      <c r="G303" t="s">
        <v>26</v>
      </c>
      <c r="H303" t="s">
        <v>62</v>
      </c>
      <c r="I303" t="s">
        <v>28</v>
      </c>
      <c r="J303" t="s">
        <v>32</v>
      </c>
      <c r="K303" t="s">
        <v>63</v>
      </c>
      <c r="L303" t="s">
        <v>64</v>
      </c>
      <c r="M303" t="s">
        <v>32</v>
      </c>
      <c r="N303" t="s">
        <v>65</v>
      </c>
      <c r="O303" t="s">
        <v>32</v>
      </c>
      <c r="P303" t="s">
        <v>32</v>
      </c>
      <c r="Q303" t="s">
        <v>1171</v>
      </c>
      <c r="R303" s="3" t="s">
        <v>32</v>
      </c>
      <c r="S303" t="s">
        <v>32</v>
      </c>
      <c r="T303" s="1">
        <v>45015.532870370371</v>
      </c>
      <c r="U303" s="1">
        <v>45426.659131944441</v>
      </c>
      <c r="V303" s="2" t="s">
        <v>1172</v>
      </c>
    </row>
    <row r="304" spans="1:22" hidden="1" x14ac:dyDescent="0.45">
      <c r="A304" t="s">
        <v>991</v>
      </c>
      <c r="B304" t="s">
        <v>59</v>
      </c>
      <c r="C304" t="s">
        <v>1173</v>
      </c>
      <c r="D304" t="s">
        <v>1174</v>
      </c>
      <c r="F304" t="s">
        <v>233</v>
      </c>
      <c r="G304" t="s">
        <v>26</v>
      </c>
      <c r="H304" t="s">
        <v>62</v>
      </c>
      <c r="I304" t="s">
        <v>28</v>
      </c>
      <c r="J304" t="s">
        <v>32</v>
      </c>
      <c r="K304" t="s">
        <v>63</v>
      </c>
      <c r="L304" t="s">
        <v>64</v>
      </c>
      <c r="M304" t="s">
        <v>32</v>
      </c>
      <c r="N304" t="s">
        <v>32</v>
      </c>
      <c r="O304" t="s">
        <v>32</v>
      </c>
      <c r="P304" t="s">
        <v>32</v>
      </c>
      <c r="Q304" t="s">
        <v>1175</v>
      </c>
      <c r="R304" s="3" t="s">
        <v>32</v>
      </c>
      <c r="S304" t="s">
        <v>32</v>
      </c>
      <c r="T304" s="1">
        <v>45015.532870370371</v>
      </c>
      <c r="U304" s="1">
        <v>45426.660196759258</v>
      </c>
      <c r="V304" s="2" t="s">
        <v>1176</v>
      </c>
    </row>
    <row r="305" spans="1:22" hidden="1" x14ac:dyDescent="0.45">
      <c r="A305" t="s">
        <v>991</v>
      </c>
      <c r="B305" t="s">
        <v>59</v>
      </c>
      <c r="C305" t="s">
        <v>1177</v>
      </c>
      <c r="D305" t="s">
        <v>1178</v>
      </c>
      <c r="F305" t="s">
        <v>233</v>
      </c>
      <c r="G305" t="s">
        <v>26</v>
      </c>
      <c r="H305" t="s">
        <v>62</v>
      </c>
      <c r="I305" t="s">
        <v>28</v>
      </c>
      <c r="J305" t="s">
        <v>32</v>
      </c>
      <c r="K305" t="s">
        <v>63</v>
      </c>
      <c r="L305" t="s">
        <v>64</v>
      </c>
      <c r="M305" t="s">
        <v>32</v>
      </c>
      <c r="N305" t="s">
        <v>32</v>
      </c>
      <c r="O305" t="s">
        <v>32</v>
      </c>
      <c r="P305" t="s">
        <v>32</v>
      </c>
      <c r="Q305" t="s">
        <v>1179</v>
      </c>
      <c r="R305" s="3" t="s">
        <v>32</v>
      </c>
      <c r="S305" t="s">
        <v>32</v>
      </c>
      <c r="T305" s="1">
        <v>45015.532870370371</v>
      </c>
      <c r="U305" s="1">
        <v>45426.662129629629</v>
      </c>
      <c r="V305" s="2" t="s">
        <v>1180</v>
      </c>
    </row>
    <row r="306" spans="1:22" hidden="1" x14ac:dyDescent="0.45">
      <c r="A306" t="s">
        <v>991</v>
      </c>
      <c r="B306" t="s">
        <v>59</v>
      </c>
      <c r="C306" t="s">
        <v>1181</v>
      </c>
      <c r="D306" t="s">
        <v>556</v>
      </c>
      <c r="F306" t="s">
        <v>85</v>
      </c>
      <c r="G306" t="s">
        <v>26</v>
      </c>
      <c r="H306" t="s">
        <v>62</v>
      </c>
      <c r="I306" t="s">
        <v>28</v>
      </c>
      <c r="J306" t="s">
        <v>32</v>
      </c>
      <c r="K306" t="s">
        <v>63</v>
      </c>
      <c r="L306" t="s">
        <v>64</v>
      </c>
      <c r="M306" t="s">
        <v>32</v>
      </c>
      <c r="N306" t="s">
        <v>32</v>
      </c>
      <c r="O306" t="s">
        <v>32</v>
      </c>
      <c r="P306" t="s">
        <v>32</v>
      </c>
      <c r="Q306" t="s">
        <v>1182</v>
      </c>
      <c r="R306" s="3" t="s">
        <v>32</v>
      </c>
      <c r="S306" t="s">
        <v>32</v>
      </c>
      <c r="T306" s="1">
        <v>45015.532870370371</v>
      </c>
      <c r="U306" s="1">
        <v>45426.662418981483</v>
      </c>
      <c r="V306" s="2" t="s">
        <v>1183</v>
      </c>
    </row>
    <row r="307" spans="1:22" hidden="1" x14ac:dyDescent="0.45">
      <c r="A307" t="s">
        <v>991</v>
      </c>
      <c r="B307" t="s">
        <v>59</v>
      </c>
      <c r="C307" t="s">
        <v>1184</v>
      </c>
      <c r="D307" t="s">
        <v>251</v>
      </c>
      <c r="F307" t="s">
        <v>85</v>
      </c>
      <c r="G307" t="s">
        <v>26</v>
      </c>
      <c r="H307" t="s">
        <v>62</v>
      </c>
      <c r="I307" t="s">
        <v>28</v>
      </c>
      <c r="J307" t="s">
        <v>32</v>
      </c>
      <c r="K307" t="s">
        <v>63</v>
      </c>
      <c r="L307" t="s">
        <v>64</v>
      </c>
      <c r="M307" t="s">
        <v>32</v>
      </c>
      <c r="N307" t="s">
        <v>32</v>
      </c>
      <c r="O307" t="s">
        <v>32</v>
      </c>
      <c r="P307" t="s">
        <v>32</v>
      </c>
      <c r="Q307" t="s">
        <v>1185</v>
      </c>
      <c r="R307" s="3" t="s">
        <v>32</v>
      </c>
      <c r="S307" t="s">
        <v>32</v>
      </c>
      <c r="T307" s="1">
        <v>45015.532870370371</v>
      </c>
      <c r="U307" s="1">
        <v>45426.662858796299</v>
      </c>
      <c r="V307" s="2" t="s">
        <v>1186</v>
      </c>
    </row>
    <row r="308" spans="1:22" hidden="1" x14ac:dyDescent="0.45">
      <c r="A308" t="s">
        <v>991</v>
      </c>
      <c r="B308" t="s">
        <v>59</v>
      </c>
      <c r="C308" t="s">
        <v>1187</v>
      </c>
      <c r="D308" t="s">
        <v>1188</v>
      </c>
      <c r="F308" t="s">
        <v>71</v>
      </c>
      <c r="G308" t="s">
        <v>26</v>
      </c>
      <c r="H308" t="s">
        <v>62</v>
      </c>
      <c r="I308" t="s">
        <v>28</v>
      </c>
      <c r="J308" t="s">
        <v>265</v>
      </c>
      <c r="K308" t="s">
        <v>63</v>
      </c>
      <c r="L308" t="s">
        <v>64</v>
      </c>
      <c r="M308" t="s">
        <v>32</v>
      </c>
      <c r="N308" t="s">
        <v>65</v>
      </c>
      <c r="O308" t="s">
        <v>66</v>
      </c>
      <c r="P308" t="s">
        <v>32</v>
      </c>
      <c r="Q308" t="s">
        <v>1189</v>
      </c>
      <c r="R308" s="3" t="s">
        <v>32</v>
      </c>
      <c r="S308" t="s">
        <v>32</v>
      </c>
      <c r="T308" s="1">
        <v>45434.682824074072</v>
      </c>
      <c r="U308" s="1">
        <v>45435.700370370374</v>
      </c>
      <c r="V308" s="2" t="s">
        <v>1190</v>
      </c>
    </row>
    <row r="309" spans="1:22" hidden="1" x14ac:dyDescent="0.45">
      <c r="A309" t="s">
        <v>991</v>
      </c>
      <c r="B309" t="s">
        <v>277</v>
      </c>
      <c r="C309" t="s">
        <v>1191</v>
      </c>
      <c r="D309" t="s">
        <v>279</v>
      </c>
      <c r="F309" t="s">
        <v>85</v>
      </c>
      <c r="G309" t="s">
        <v>26</v>
      </c>
      <c r="H309" t="s">
        <v>280</v>
      </c>
      <c r="I309" t="s">
        <v>281</v>
      </c>
      <c r="J309" t="s">
        <v>32</v>
      </c>
      <c r="K309" t="s">
        <v>63</v>
      </c>
      <c r="L309" t="s">
        <v>32</v>
      </c>
      <c r="M309" t="s">
        <v>32</v>
      </c>
      <c r="N309" t="s">
        <v>32</v>
      </c>
      <c r="O309" t="s">
        <v>32</v>
      </c>
      <c r="P309" t="s">
        <v>32</v>
      </c>
      <c r="Q309" t="s">
        <v>1192</v>
      </c>
      <c r="R309" s="3" t="s">
        <v>32</v>
      </c>
      <c r="S309" t="s">
        <v>32</v>
      </c>
      <c r="T309" s="1">
        <v>45015.532870370371</v>
      </c>
      <c r="U309" s="1">
        <v>45426.663402777776</v>
      </c>
      <c r="V309" s="2" t="s">
        <v>1193</v>
      </c>
    </row>
    <row r="310" spans="1:22" hidden="1" x14ac:dyDescent="0.45">
      <c r="A310" t="s">
        <v>991</v>
      </c>
      <c r="B310" t="s">
        <v>593</v>
      </c>
      <c r="C310" t="s">
        <v>1194</v>
      </c>
      <c r="D310" t="s">
        <v>1195</v>
      </c>
      <c r="F310" t="s">
        <v>85</v>
      </c>
      <c r="G310" t="s">
        <v>26</v>
      </c>
      <c r="H310" t="s">
        <v>280</v>
      </c>
      <c r="I310" t="s">
        <v>281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1196</v>
      </c>
      <c r="R310" s="3" t="s">
        <v>32</v>
      </c>
      <c r="S310" t="s">
        <v>32</v>
      </c>
      <c r="T310" s="1">
        <v>45015.532870370371</v>
      </c>
      <c r="U310" s="1">
        <v>45426.663541666669</v>
      </c>
      <c r="V310" s="2" t="s">
        <v>1197</v>
      </c>
    </row>
    <row r="311" spans="1:22" hidden="1" x14ac:dyDescent="0.45">
      <c r="A311" t="s">
        <v>991</v>
      </c>
      <c r="B311" t="s">
        <v>284</v>
      </c>
      <c r="C311" t="s">
        <v>1198</v>
      </c>
      <c r="D311" t="s">
        <v>286</v>
      </c>
      <c r="F311" t="s">
        <v>85</v>
      </c>
      <c r="G311" t="s">
        <v>188</v>
      </c>
      <c r="H311" t="s">
        <v>189</v>
      </c>
      <c r="I311" t="s">
        <v>287</v>
      </c>
      <c r="J311" t="s">
        <v>32</v>
      </c>
      <c r="K311" t="s">
        <v>63</v>
      </c>
      <c r="L311" t="s">
        <v>288</v>
      </c>
      <c r="M311" t="s">
        <v>32</v>
      </c>
      <c r="N311" t="s">
        <v>289</v>
      </c>
      <c r="O311" t="s">
        <v>290</v>
      </c>
      <c r="P311" t="s">
        <v>32</v>
      </c>
      <c r="Q311" t="s">
        <v>1199</v>
      </c>
      <c r="R311" s="3" t="s">
        <v>32</v>
      </c>
      <c r="S311" t="s">
        <v>32</v>
      </c>
      <c r="T311" s="1">
        <v>45015.532870370371</v>
      </c>
      <c r="U311" s="1">
        <v>45426.663981481484</v>
      </c>
      <c r="V311" s="2" t="s">
        <v>1200</v>
      </c>
    </row>
    <row r="312" spans="1:22" hidden="1" x14ac:dyDescent="0.45">
      <c r="A312" t="s">
        <v>991</v>
      </c>
      <c r="B312" t="s">
        <v>284</v>
      </c>
      <c r="C312" t="s">
        <v>1201</v>
      </c>
      <c r="D312" t="s">
        <v>1202</v>
      </c>
      <c r="F312" t="s">
        <v>85</v>
      </c>
      <c r="G312" t="s">
        <v>188</v>
      </c>
      <c r="H312" t="s">
        <v>189</v>
      </c>
      <c r="I312" t="s">
        <v>287</v>
      </c>
      <c r="J312" t="s">
        <v>32</v>
      </c>
      <c r="K312" t="s">
        <v>63</v>
      </c>
      <c r="L312" t="s">
        <v>288</v>
      </c>
      <c r="M312" t="s">
        <v>32</v>
      </c>
      <c r="N312" t="s">
        <v>289</v>
      </c>
      <c r="O312" t="s">
        <v>290</v>
      </c>
      <c r="P312" t="s">
        <v>32</v>
      </c>
      <c r="Q312" t="s">
        <v>1203</v>
      </c>
      <c r="R312" s="3" t="s">
        <v>32</v>
      </c>
      <c r="S312" t="s">
        <v>32</v>
      </c>
      <c r="T312" s="1">
        <v>45015.532870370371</v>
      </c>
      <c r="U312" s="1">
        <v>45426.665925925925</v>
      </c>
      <c r="V312" s="2" t="s">
        <v>1204</v>
      </c>
    </row>
    <row r="313" spans="1:22" hidden="1" x14ac:dyDescent="0.45">
      <c r="A313" t="s">
        <v>991</v>
      </c>
      <c r="B313" t="s">
        <v>284</v>
      </c>
      <c r="C313" t="s">
        <v>1205</v>
      </c>
      <c r="D313" t="s">
        <v>1206</v>
      </c>
      <c r="F313" t="s">
        <v>85</v>
      </c>
      <c r="G313" t="s">
        <v>188</v>
      </c>
      <c r="H313" t="s">
        <v>189</v>
      </c>
      <c r="I313" t="s">
        <v>287</v>
      </c>
      <c r="J313" t="s">
        <v>32</v>
      </c>
      <c r="K313" t="s">
        <v>63</v>
      </c>
      <c r="L313" t="s">
        <v>288</v>
      </c>
      <c r="M313" t="s">
        <v>32</v>
      </c>
      <c r="N313" t="s">
        <v>289</v>
      </c>
      <c r="O313" t="s">
        <v>290</v>
      </c>
      <c r="P313" t="s">
        <v>32</v>
      </c>
      <c r="Q313" t="s">
        <v>1207</v>
      </c>
      <c r="R313" s="3" t="s">
        <v>32</v>
      </c>
      <c r="S313" t="s">
        <v>32</v>
      </c>
      <c r="T313" s="1">
        <v>45015.532870370371</v>
      </c>
      <c r="U313" s="1">
        <v>45426.666192129633</v>
      </c>
      <c r="V313" s="2" t="s">
        <v>1208</v>
      </c>
    </row>
    <row r="314" spans="1:22" hidden="1" x14ac:dyDescent="0.45">
      <c r="A314" t="s">
        <v>991</v>
      </c>
      <c r="B314" t="s">
        <v>293</v>
      </c>
      <c r="C314" t="s">
        <v>1209</v>
      </c>
      <c r="D314" t="s">
        <v>295</v>
      </c>
      <c r="F314" t="s">
        <v>85</v>
      </c>
      <c r="G314" t="s">
        <v>26</v>
      </c>
      <c r="H314" t="s">
        <v>280</v>
      </c>
      <c r="I314" t="s">
        <v>281</v>
      </c>
      <c r="J314" t="s">
        <v>32</v>
      </c>
      <c r="K314" t="s">
        <v>63</v>
      </c>
      <c r="L314" t="s">
        <v>32</v>
      </c>
      <c r="M314" t="s">
        <v>32</v>
      </c>
      <c r="N314" t="s">
        <v>32</v>
      </c>
      <c r="O314" t="s">
        <v>32</v>
      </c>
      <c r="P314" t="s">
        <v>32</v>
      </c>
      <c r="Q314" t="s">
        <v>1210</v>
      </c>
      <c r="R314" s="3" t="s">
        <v>32</v>
      </c>
      <c r="S314" t="s">
        <v>32</v>
      </c>
      <c r="T314" s="1">
        <v>45015.532870370371</v>
      </c>
      <c r="U314" s="1">
        <v>45426.666747685187</v>
      </c>
      <c r="V314" s="2" t="s">
        <v>1211</v>
      </c>
    </row>
    <row r="315" spans="1:22" hidden="1" x14ac:dyDescent="0.45">
      <c r="A315" t="s">
        <v>991</v>
      </c>
      <c r="B315" t="s">
        <v>298</v>
      </c>
      <c r="C315" t="s">
        <v>1212</v>
      </c>
      <c r="D315" t="s">
        <v>300</v>
      </c>
      <c r="F315" t="s">
        <v>85</v>
      </c>
      <c r="G315" t="s">
        <v>32</v>
      </c>
      <c r="H315" t="s">
        <v>32</v>
      </c>
      <c r="I315" t="s">
        <v>32</v>
      </c>
      <c r="J315" t="s">
        <v>32</v>
      </c>
      <c r="K315" t="s">
        <v>32</v>
      </c>
      <c r="L315" t="s">
        <v>302</v>
      </c>
      <c r="M315" t="s">
        <v>32</v>
      </c>
      <c r="N315" t="s">
        <v>32</v>
      </c>
      <c r="O315" t="s">
        <v>32</v>
      </c>
      <c r="P315" t="s">
        <v>32</v>
      </c>
      <c r="Q315" t="s">
        <v>1213</v>
      </c>
      <c r="R315" s="3" t="s">
        <v>32</v>
      </c>
      <c r="S315" t="s">
        <v>32</v>
      </c>
      <c r="T315" s="1">
        <v>45015.532870370371</v>
      </c>
      <c r="U315" s="1">
        <v>45015.532870370371</v>
      </c>
      <c r="V315" s="2" t="s">
        <v>1214</v>
      </c>
    </row>
    <row r="316" spans="1:22" hidden="1" x14ac:dyDescent="0.45">
      <c r="A316" t="s">
        <v>991</v>
      </c>
      <c r="B316" t="s">
        <v>298</v>
      </c>
      <c r="C316" t="s">
        <v>1215</v>
      </c>
      <c r="D316" t="s">
        <v>306</v>
      </c>
      <c r="F316" t="s">
        <v>85</v>
      </c>
      <c r="G316" t="s">
        <v>32</v>
      </c>
      <c r="H316" t="s">
        <v>32</v>
      </c>
      <c r="I316" t="s">
        <v>32</v>
      </c>
      <c r="J316" t="s">
        <v>32</v>
      </c>
      <c r="K316" t="s">
        <v>32</v>
      </c>
      <c r="L316" t="s">
        <v>302</v>
      </c>
      <c r="M316" t="s">
        <v>32</v>
      </c>
      <c r="N316" t="s">
        <v>32</v>
      </c>
      <c r="O316" t="s">
        <v>32</v>
      </c>
      <c r="P316" t="s">
        <v>32</v>
      </c>
      <c r="Q316" t="s">
        <v>1216</v>
      </c>
      <c r="R316" s="3" t="s">
        <v>32</v>
      </c>
      <c r="S316" t="s">
        <v>32</v>
      </c>
      <c r="T316" s="1">
        <v>45015.532870370371</v>
      </c>
      <c r="U316" s="1">
        <v>45015.532870370371</v>
      </c>
      <c r="V316" s="2" t="s">
        <v>1217</v>
      </c>
    </row>
    <row r="317" spans="1:22" hidden="1" x14ac:dyDescent="0.45">
      <c r="A317" t="s">
        <v>991</v>
      </c>
      <c r="B317" t="s">
        <v>298</v>
      </c>
      <c r="C317" t="s">
        <v>1218</v>
      </c>
      <c r="D317" t="s">
        <v>1219</v>
      </c>
      <c r="F317" t="s">
        <v>85</v>
      </c>
      <c r="G317" t="s">
        <v>32</v>
      </c>
      <c r="H317" t="s">
        <v>32</v>
      </c>
      <c r="I317" t="s">
        <v>32</v>
      </c>
      <c r="J317" t="s">
        <v>32</v>
      </c>
      <c r="K317" t="s">
        <v>32</v>
      </c>
      <c r="L317" t="s">
        <v>302</v>
      </c>
      <c r="M317" t="s">
        <v>32</v>
      </c>
      <c r="N317" t="s">
        <v>32</v>
      </c>
      <c r="O317" t="s">
        <v>32</v>
      </c>
      <c r="P317" t="s">
        <v>32</v>
      </c>
      <c r="Q317" t="s">
        <v>1220</v>
      </c>
      <c r="R317" s="3" t="s">
        <v>32</v>
      </c>
      <c r="S317" t="s">
        <v>32</v>
      </c>
      <c r="T317" s="1">
        <v>45015.532870370371</v>
      </c>
      <c r="U317" s="1">
        <v>45015.532870370371</v>
      </c>
      <c r="V317" s="2" t="s">
        <v>1221</v>
      </c>
    </row>
    <row r="318" spans="1:22" hidden="1" x14ac:dyDescent="0.45">
      <c r="A318" t="s">
        <v>991</v>
      </c>
      <c r="B318" t="s">
        <v>298</v>
      </c>
      <c r="C318" t="s">
        <v>1222</v>
      </c>
      <c r="D318" t="s">
        <v>1223</v>
      </c>
      <c r="F318" t="s">
        <v>85</v>
      </c>
      <c r="G318" t="s">
        <v>32</v>
      </c>
      <c r="H318" t="s">
        <v>32</v>
      </c>
      <c r="I318" t="s">
        <v>32</v>
      </c>
      <c r="J318" t="s">
        <v>32</v>
      </c>
      <c r="K318" t="s">
        <v>32</v>
      </c>
      <c r="L318" t="s">
        <v>302</v>
      </c>
      <c r="M318" t="s">
        <v>32</v>
      </c>
      <c r="N318" t="s">
        <v>32</v>
      </c>
      <c r="O318" t="s">
        <v>32</v>
      </c>
      <c r="P318" t="s">
        <v>32</v>
      </c>
      <c r="Q318" t="s">
        <v>1224</v>
      </c>
      <c r="R318" s="3" t="s">
        <v>32</v>
      </c>
      <c r="S318" t="s">
        <v>32</v>
      </c>
      <c r="T318" s="1">
        <v>45015.532870370371</v>
      </c>
      <c r="U318" s="1">
        <v>45015.532870370371</v>
      </c>
      <c r="V318" s="2" t="s">
        <v>1225</v>
      </c>
    </row>
    <row r="319" spans="1:22" hidden="1" x14ac:dyDescent="0.45">
      <c r="A319" t="s">
        <v>991</v>
      </c>
      <c r="B319" t="s">
        <v>309</v>
      </c>
      <c r="C319" t="s">
        <v>1226</v>
      </c>
      <c r="D319" t="s">
        <v>311</v>
      </c>
      <c r="F319" t="s">
        <v>233</v>
      </c>
      <c r="G319" t="s">
        <v>188</v>
      </c>
      <c r="H319" t="s">
        <v>312</v>
      </c>
      <c r="I319" t="s">
        <v>313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1227</v>
      </c>
      <c r="R319" s="3" t="s">
        <v>32</v>
      </c>
      <c r="S319" t="s">
        <v>32</v>
      </c>
      <c r="T319" s="1">
        <v>45015.532870370371</v>
      </c>
      <c r="U319" s="1">
        <v>45426.670104166667</v>
      </c>
      <c r="V319" s="2" t="s">
        <v>1228</v>
      </c>
    </row>
    <row r="320" spans="1:22" hidden="1" x14ac:dyDescent="0.45">
      <c r="A320" t="s">
        <v>991</v>
      </c>
      <c r="B320" t="s">
        <v>309</v>
      </c>
      <c r="C320" t="s">
        <v>1229</v>
      </c>
      <c r="D320" t="s">
        <v>317</v>
      </c>
      <c r="F320" t="s">
        <v>187</v>
      </c>
      <c r="G320" t="s">
        <v>188</v>
      </c>
      <c r="H320" t="s">
        <v>312</v>
      </c>
      <c r="I320" t="s">
        <v>313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1230</v>
      </c>
      <c r="R320" s="3" t="s">
        <v>32</v>
      </c>
      <c r="S320" t="s">
        <v>32</v>
      </c>
      <c r="T320" s="1">
        <v>45015.532881944448</v>
      </c>
      <c r="U320" s="1">
        <v>45015.532881944448</v>
      </c>
      <c r="V320" s="2" t="s">
        <v>1231</v>
      </c>
    </row>
    <row r="321" spans="1:22" hidden="1" x14ac:dyDescent="0.45">
      <c r="A321" t="s">
        <v>991</v>
      </c>
      <c r="B321" t="s">
        <v>309</v>
      </c>
      <c r="C321" t="s">
        <v>1232</v>
      </c>
      <c r="D321" t="s">
        <v>321</v>
      </c>
      <c r="F321" t="s">
        <v>187</v>
      </c>
      <c r="G321" t="s">
        <v>188</v>
      </c>
      <c r="H321" t="s">
        <v>312</v>
      </c>
      <c r="I321" t="s">
        <v>313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t="s">
        <v>1233</v>
      </c>
      <c r="R321" s="3" t="s">
        <v>32</v>
      </c>
      <c r="S321" t="s">
        <v>32</v>
      </c>
      <c r="T321" s="1">
        <v>45015.532881944448</v>
      </c>
      <c r="U321" s="1">
        <v>45015.532881944448</v>
      </c>
      <c r="V321" s="2" t="s">
        <v>1234</v>
      </c>
    </row>
    <row r="322" spans="1:22" hidden="1" x14ac:dyDescent="0.45">
      <c r="A322" t="s">
        <v>991</v>
      </c>
      <c r="B322" t="s">
        <v>334</v>
      </c>
      <c r="C322" t="s">
        <v>1235</v>
      </c>
      <c r="D322" t="s">
        <v>334</v>
      </c>
      <c r="F322" t="s">
        <v>85</v>
      </c>
      <c r="G322" t="s">
        <v>26</v>
      </c>
      <c r="H322" t="s">
        <v>27</v>
      </c>
      <c r="I322" t="s">
        <v>28</v>
      </c>
      <c r="J322" t="s">
        <v>32</v>
      </c>
      <c r="K322" t="s">
        <v>337</v>
      </c>
      <c r="L322" t="s">
        <v>32</v>
      </c>
      <c r="M322" t="s">
        <v>32</v>
      </c>
      <c r="N322" t="s">
        <v>32</v>
      </c>
      <c r="O322" t="s">
        <v>32</v>
      </c>
      <c r="P322" t="s">
        <v>32</v>
      </c>
      <c r="Q322" t="s">
        <v>1236</v>
      </c>
      <c r="R322" s="3" t="s">
        <v>32</v>
      </c>
      <c r="S322" t="s">
        <v>32</v>
      </c>
      <c r="T322" s="1">
        <v>45015.532881944448</v>
      </c>
      <c r="U322" s="1">
        <v>45426.672453703701</v>
      </c>
      <c r="V322" s="2" t="s">
        <v>1237</v>
      </c>
    </row>
    <row r="323" spans="1:22" hidden="1" x14ac:dyDescent="0.45">
      <c r="A323" t="s">
        <v>991</v>
      </c>
      <c r="B323" t="s">
        <v>334</v>
      </c>
      <c r="C323" t="s">
        <v>1238</v>
      </c>
      <c r="D323" t="s">
        <v>1239</v>
      </c>
      <c r="F323" t="s">
        <v>85</v>
      </c>
      <c r="G323" t="s">
        <v>26</v>
      </c>
      <c r="H323" t="s">
        <v>27</v>
      </c>
      <c r="I323" t="s">
        <v>28</v>
      </c>
      <c r="J323" t="s">
        <v>32</v>
      </c>
      <c r="K323" t="s">
        <v>337</v>
      </c>
      <c r="L323" t="s">
        <v>32</v>
      </c>
      <c r="M323" t="s">
        <v>32</v>
      </c>
      <c r="N323" t="s">
        <v>32</v>
      </c>
      <c r="O323" t="s">
        <v>32</v>
      </c>
      <c r="P323" t="s">
        <v>32</v>
      </c>
      <c r="Q323" t="s">
        <v>1240</v>
      </c>
      <c r="R323" s="3" t="s">
        <v>32</v>
      </c>
      <c r="S323" t="s">
        <v>32</v>
      </c>
      <c r="T323" s="1">
        <v>45015.532881944448</v>
      </c>
      <c r="U323" s="1">
        <v>45426.673761574071</v>
      </c>
      <c r="V323" s="2" t="s">
        <v>1241</v>
      </c>
    </row>
    <row r="324" spans="1:22" hidden="1" x14ac:dyDescent="0.45">
      <c r="A324" t="s">
        <v>991</v>
      </c>
      <c r="B324" t="s">
        <v>340</v>
      </c>
      <c r="C324" t="s">
        <v>1242</v>
      </c>
      <c r="D324" t="s">
        <v>340</v>
      </c>
      <c r="F324" t="s">
        <v>85</v>
      </c>
      <c r="G324" t="s">
        <v>26</v>
      </c>
      <c r="H324" t="s">
        <v>62</v>
      </c>
      <c r="I324" t="s">
        <v>342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1243</v>
      </c>
      <c r="R324" s="3" t="s">
        <v>32</v>
      </c>
      <c r="S324" t="s">
        <v>32</v>
      </c>
      <c r="T324" s="1">
        <v>45015.532881944448</v>
      </c>
      <c r="U324" s="1">
        <v>45426.674085648148</v>
      </c>
      <c r="V324" s="2" t="s">
        <v>1244</v>
      </c>
    </row>
    <row r="325" spans="1:22" hidden="1" x14ac:dyDescent="0.45">
      <c r="A325" t="s">
        <v>991</v>
      </c>
      <c r="B325" t="s">
        <v>345</v>
      </c>
      <c r="C325" t="s">
        <v>1245</v>
      </c>
      <c r="D325" t="s">
        <v>347</v>
      </c>
      <c r="F325" t="s">
        <v>85</v>
      </c>
      <c r="G325" t="s">
        <v>26</v>
      </c>
      <c r="H325" t="s">
        <v>27</v>
      </c>
      <c r="I325" t="s">
        <v>28</v>
      </c>
      <c r="J325" t="s">
        <v>32</v>
      </c>
      <c r="K325" t="s">
        <v>337</v>
      </c>
      <c r="L325" t="s">
        <v>32</v>
      </c>
      <c r="M325" t="s">
        <v>32</v>
      </c>
      <c r="N325" t="s">
        <v>32</v>
      </c>
      <c r="O325" t="s">
        <v>32</v>
      </c>
      <c r="P325" t="s">
        <v>32</v>
      </c>
      <c r="Q325" t="s">
        <v>1246</v>
      </c>
      <c r="R325" s="3" t="s">
        <v>32</v>
      </c>
      <c r="S325" t="s">
        <v>32</v>
      </c>
      <c r="T325" s="1">
        <v>45015.532881944448</v>
      </c>
      <c r="U325" s="1">
        <v>45426.674293981479</v>
      </c>
      <c r="V325" s="2" t="s">
        <v>1247</v>
      </c>
    </row>
    <row r="326" spans="1:22" hidden="1" x14ac:dyDescent="0.45">
      <c r="A326" t="s">
        <v>991</v>
      </c>
      <c r="B326" t="s">
        <v>350</v>
      </c>
      <c r="C326" t="s">
        <v>1248</v>
      </c>
      <c r="D326" t="s">
        <v>352</v>
      </c>
      <c r="F326" t="s">
        <v>85</v>
      </c>
      <c r="G326" t="s">
        <v>26</v>
      </c>
      <c r="H326" t="s">
        <v>27</v>
      </c>
      <c r="I326" t="s">
        <v>28</v>
      </c>
      <c r="J326" t="s">
        <v>32</v>
      </c>
      <c r="K326" t="s">
        <v>63</v>
      </c>
      <c r="L326" t="s">
        <v>32</v>
      </c>
      <c r="M326" t="s">
        <v>32</v>
      </c>
      <c r="N326" t="s">
        <v>32</v>
      </c>
      <c r="O326" t="s">
        <v>32</v>
      </c>
      <c r="P326" t="s">
        <v>32</v>
      </c>
      <c r="Q326" t="s">
        <v>1249</v>
      </c>
      <c r="R326" s="3" t="s">
        <v>32</v>
      </c>
      <c r="S326" t="s">
        <v>32</v>
      </c>
      <c r="T326" s="1">
        <v>45015.532881944448</v>
      </c>
      <c r="U326" s="1">
        <v>45426.677627314813</v>
      </c>
      <c r="V326" s="2" t="s">
        <v>1250</v>
      </c>
    </row>
    <row r="327" spans="1:22" hidden="1" x14ac:dyDescent="0.45">
      <c r="A327" t="s">
        <v>991</v>
      </c>
      <c r="B327" t="s">
        <v>355</v>
      </c>
      <c r="C327" t="s">
        <v>1251</v>
      </c>
      <c r="D327" t="s">
        <v>355</v>
      </c>
      <c r="F327" t="s">
        <v>326</v>
      </c>
      <c r="G327" t="s">
        <v>26</v>
      </c>
      <c r="H327" t="s">
        <v>27</v>
      </c>
      <c r="I327" t="s">
        <v>28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1252</v>
      </c>
      <c r="R327" s="3" t="s">
        <v>32</v>
      </c>
      <c r="S327" t="s">
        <v>32</v>
      </c>
      <c r="T327" s="1">
        <v>45015.532881944448</v>
      </c>
      <c r="U327" s="1">
        <v>45426.677766203706</v>
      </c>
      <c r="V327" s="2" t="s">
        <v>1253</v>
      </c>
    </row>
    <row r="328" spans="1:22" hidden="1" x14ac:dyDescent="0.45">
      <c r="A328" t="s">
        <v>991</v>
      </c>
      <c r="B328" t="s">
        <v>661</v>
      </c>
      <c r="C328" t="s">
        <v>1254</v>
      </c>
      <c r="D328" t="s">
        <v>959</v>
      </c>
      <c r="F328" t="s">
        <v>85</v>
      </c>
      <c r="G328" t="s">
        <v>26</v>
      </c>
      <c r="H328" t="s">
        <v>663</v>
      </c>
      <c r="I328" t="s">
        <v>28</v>
      </c>
      <c r="J328" t="s">
        <v>664</v>
      </c>
      <c r="K328" t="s">
        <v>30</v>
      </c>
      <c r="L328" t="s">
        <v>665</v>
      </c>
      <c r="M328" t="s">
        <v>64</v>
      </c>
      <c r="N328" t="s">
        <v>960</v>
      </c>
      <c r="O328" t="s">
        <v>961</v>
      </c>
      <c r="P328" t="s">
        <v>33</v>
      </c>
      <c r="Q328" t="s">
        <v>1255</v>
      </c>
      <c r="R328" s="3" t="s">
        <v>32</v>
      </c>
      <c r="S328" t="s">
        <v>32</v>
      </c>
      <c r="T328" s="1">
        <v>45547.499189814815</v>
      </c>
      <c r="U328" s="1">
        <v>45547.500208333331</v>
      </c>
      <c r="V328" s="2" t="s">
        <v>1256</v>
      </c>
    </row>
    <row r="329" spans="1:22" hidden="1" x14ac:dyDescent="0.45">
      <c r="A329" t="s">
        <v>991</v>
      </c>
      <c r="B329" t="s">
        <v>672</v>
      </c>
      <c r="C329" t="s">
        <v>1257</v>
      </c>
      <c r="D329" t="s">
        <v>674</v>
      </c>
      <c r="F329" t="s">
        <v>71</v>
      </c>
      <c r="G329" t="s">
        <v>188</v>
      </c>
      <c r="H329" t="s">
        <v>189</v>
      </c>
      <c r="I329" t="s">
        <v>190</v>
      </c>
      <c r="J329" t="s">
        <v>32</v>
      </c>
      <c r="K329" t="s">
        <v>30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1258</v>
      </c>
      <c r="R329" s="3" t="s">
        <v>32</v>
      </c>
      <c r="S329" t="s">
        <v>32</v>
      </c>
      <c r="T329" s="1">
        <v>45434.661782407406</v>
      </c>
      <c r="U329" s="1">
        <v>45436.617291666669</v>
      </c>
      <c r="V329" s="2" t="s">
        <v>1259</v>
      </c>
    </row>
    <row r="330" spans="1:22" hidden="1" x14ac:dyDescent="0.45">
      <c r="A330" t="s">
        <v>991</v>
      </c>
      <c r="B330" t="s">
        <v>672</v>
      </c>
      <c r="C330" t="s">
        <v>1260</v>
      </c>
      <c r="D330" t="s">
        <v>1261</v>
      </c>
      <c r="F330" t="s">
        <v>71</v>
      </c>
      <c r="G330" t="s">
        <v>188</v>
      </c>
      <c r="H330" t="s">
        <v>189</v>
      </c>
      <c r="I330" t="s">
        <v>190</v>
      </c>
      <c r="J330" t="s">
        <v>32</v>
      </c>
      <c r="K330" t="s">
        <v>30</v>
      </c>
      <c r="L330" t="s">
        <v>32</v>
      </c>
      <c r="M330" t="s">
        <v>32</v>
      </c>
      <c r="N330" t="s">
        <v>32</v>
      </c>
      <c r="O330" t="s">
        <v>32</v>
      </c>
      <c r="P330" t="s">
        <v>32</v>
      </c>
      <c r="Q330" t="s">
        <v>1262</v>
      </c>
      <c r="R330" s="3" t="s">
        <v>32</v>
      </c>
      <c r="S330" t="s">
        <v>32</v>
      </c>
      <c r="T330" s="1">
        <v>45434.683553240742</v>
      </c>
      <c r="U330" s="1">
        <v>45435.70045138889</v>
      </c>
      <c r="V330" s="2" t="s">
        <v>1263</v>
      </c>
    </row>
    <row r="331" spans="1:22" hidden="1" x14ac:dyDescent="0.45">
      <c r="A331" t="s">
        <v>991</v>
      </c>
      <c r="B331" t="s">
        <v>368</v>
      </c>
      <c r="C331" t="s">
        <v>1264</v>
      </c>
      <c r="D331" t="s">
        <v>368</v>
      </c>
      <c r="F331" t="s">
        <v>85</v>
      </c>
      <c r="G331" t="s">
        <v>26</v>
      </c>
      <c r="H331" t="s">
        <v>27</v>
      </c>
      <c r="I331" t="s">
        <v>28</v>
      </c>
      <c r="J331" t="s">
        <v>32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1265</v>
      </c>
      <c r="R331" s="3" t="s">
        <v>32</v>
      </c>
      <c r="S331" t="s">
        <v>32</v>
      </c>
      <c r="T331" s="1">
        <v>45015.532881944448</v>
      </c>
      <c r="U331" s="1">
        <v>45426.67800925926</v>
      </c>
      <c r="V331" s="2" t="s">
        <v>1266</v>
      </c>
    </row>
    <row r="332" spans="1:22" hidden="1" x14ac:dyDescent="0.45">
      <c r="A332" t="s">
        <v>991</v>
      </c>
      <c r="B332" t="s">
        <v>680</v>
      </c>
      <c r="C332" t="s">
        <v>1267</v>
      </c>
      <c r="D332" t="s">
        <v>680</v>
      </c>
      <c r="F332" t="s">
        <v>85</v>
      </c>
      <c r="G332" t="s">
        <v>26</v>
      </c>
      <c r="H332" t="s">
        <v>62</v>
      </c>
      <c r="I332" t="s">
        <v>342</v>
      </c>
      <c r="J332" t="s">
        <v>32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1268</v>
      </c>
      <c r="R332" s="3" t="s">
        <v>32</v>
      </c>
      <c r="S332" t="s">
        <v>32</v>
      </c>
      <c r="T332" s="1">
        <v>45015.532881944448</v>
      </c>
      <c r="U332" s="1">
        <v>45426.678148148145</v>
      </c>
      <c r="V332" s="2" t="s">
        <v>1269</v>
      </c>
    </row>
    <row r="333" spans="1:22" hidden="1" x14ac:dyDescent="0.45">
      <c r="A333" t="s">
        <v>991</v>
      </c>
      <c r="B333" t="s">
        <v>372</v>
      </c>
      <c r="C333" t="s">
        <v>1270</v>
      </c>
      <c r="D333" t="s">
        <v>372</v>
      </c>
      <c r="F333" t="s">
        <v>56</v>
      </c>
      <c r="G333" t="s">
        <v>188</v>
      </c>
      <c r="H333" t="s">
        <v>189</v>
      </c>
      <c r="I333" t="s">
        <v>287</v>
      </c>
      <c r="J333" t="s">
        <v>374</v>
      </c>
      <c r="K333" t="s">
        <v>30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1271</v>
      </c>
      <c r="R333" s="3" t="s">
        <v>32</v>
      </c>
      <c r="S333" t="s">
        <v>32</v>
      </c>
      <c r="T333" s="1">
        <v>45252.668738425928</v>
      </c>
      <c r="U333" s="1">
        <v>45426.679560185185</v>
      </c>
      <c r="V333" s="2" t="s">
        <v>1272</v>
      </c>
    </row>
    <row r="334" spans="1:22" hidden="1" x14ac:dyDescent="0.45">
      <c r="A334" t="s">
        <v>991</v>
      </c>
      <c r="B334" t="s">
        <v>377</v>
      </c>
      <c r="C334" t="s">
        <v>1273</v>
      </c>
      <c r="D334" t="s">
        <v>377</v>
      </c>
      <c r="F334" t="s">
        <v>25</v>
      </c>
      <c r="G334" t="s">
        <v>26</v>
      </c>
      <c r="H334" t="s">
        <v>27</v>
      </c>
      <c r="I334" t="s">
        <v>28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1274</v>
      </c>
      <c r="R334" s="3" t="s">
        <v>32</v>
      </c>
      <c r="S334" t="s">
        <v>32</v>
      </c>
      <c r="T334" s="1">
        <v>45015.532881944448</v>
      </c>
      <c r="U334" s="1">
        <v>45426.68378472222</v>
      </c>
      <c r="V334" s="2" t="s">
        <v>1275</v>
      </c>
    </row>
    <row r="335" spans="1:22" hidden="1" x14ac:dyDescent="0.45">
      <c r="A335" t="s">
        <v>991</v>
      </c>
      <c r="B335" t="s">
        <v>377</v>
      </c>
      <c r="C335" t="s">
        <v>1276</v>
      </c>
      <c r="D335" t="s">
        <v>382</v>
      </c>
      <c r="F335" t="s">
        <v>25</v>
      </c>
      <c r="G335" t="s">
        <v>26</v>
      </c>
      <c r="H335" t="s">
        <v>27</v>
      </c>
      <c r="I335" t="s">
        <v>28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t="s">
        <v>1277</v>
      </c>
      <c r="R335" s="3" t="s">
        <v>32</v>
      </c>
      <c r="S335" t="s">
        <v>32</v>
      </c>
      <c r="T335" s="1">
        <v>45015.532881944448</v>
      </c>
      <c r="U335" s="1">
        <v>45426.684178240743</v>
      </c>
      <c r="V335" s="2" t="s">
        <v>1278</v>
      </c>
    </row>
    <row r="336" spans="1:22" hidden="1" x14ac:dyDescent="0.45">
      <c r="A336" t="s">
        <v>991</v>
      </c>
      <c r="B336" t="s">
        <v>385</v>
      </c>
      <c r="C336" t="s">
        <v>1279</v>
      </c>
      <c r="D336" t="s">
        <v>385</v>
      </c>
      <c r="F336" t="s">
        <v>56</v>
      </c>
      <c r="G336" t="s">
        <v>26</v>
      </c>
      <c r="H336" t="s">
        <v>62</v>
      </c>
      <c r="I336" t="s">
        <v>28</v>
      </c>
      <c r="J336" t="s">
        <v>32</v>
      </c>
      <c r="K336" t="s">
        <v>63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1280</v>
      </c>
      <c r="R336" s="3" t="s">
        <v>32</v>
      </c>
      <c r="S336" t="s">
        <v>32</v>
      </c>
      <c r="T336" s="1">
        <v>45015.532881944448</v>
      </c>
      <c r="U336" s="1">
        <v>45426.68445601852</v>
      </c>
      <c r="V336" s="2" t="s">
        <v>1281</v>
      </c>
    </row>
    <row r="337" spans="1:22" hidden="1" x14ac:dyDescent="0.45">
      <c r="A337" t="s">
        <v>991</v>
      </c>
      <c r="B337" t="s">
        <v>701</v>
      </c>
      <c r="C337" t="s">
        <v>1282</v>
      </c>
      <c r="D337" t="s">
        <v>709</v>
      </c>
      <c r="F337" t="s">
        <v>25</v>
      </c>
      <c r="G337" t="s">
        <v>188</v>
      </c>
      <c r="H337" t="s">
        <v>189</v>
      </c>
      <c r="I337" t="s">
        <v>190</v>
      </c>
      <c r="J337" t="s">
        <v>32</v>
      </c>
      <c r="K337" t="s">
        <v>32</v>
      </c>
      <c r="L337" t="s">
        <v>705</v>
      </c>
      <c r="M337" t="s">
        <v>32</v>
      </c>
      <c r="N337" t="s">
        <v>32</v>
      </c>
      <c r="O337" t="s">
        <v>32</v>
      </c>
      <c r="P337" t="s">
        <v>32</v>
      </c>
      <c r="Q337" t="s">
        <v>1283</v>
      </c>
      <c r="R337" s="3">
        <v>3</v>
      </c>
      <c r="S337" t="s">
        <v>32</v>
      </c>
      <c r="T337" s="1">
        <v>45436.602013888885</v>
      </c>
      <c r="U337" s="1">
        <v>45483.639050925929</v>
      </c>
      <c r="V337" s="2" t="s">
        <v>1284</v>
      </c>
    </row>
    <row r="338" spans="1:22" hidden="1" x14ac:dyDescent="0.45">
      <c r="A338" t="s">
        <v>1285</v>
      </c>
      <c r="B338" t="s">
        <v>22</v>
      </c>
      <c r="C338" t="s">
        <v>1286</v>
      </c>
      <c r="D338" t="s">
        <v>43</v>
      </c>
      <c r="F338" t="s">
        <v>76</v>
      </c>
      <c r="G338" t="s">
        <v>26</v>
      </c>
      <c r="H338" t="s">
        <v>27</v>
      </c>
      <c r="I338" t="s">
        <v>28</v>
      </c>
      <c r="J338" t="s">
        <v>29</v>
      </c>
      <c r="K338" t="s">
        <v>30</v>
      </c>
      <c r="L338" t="s">
        <v>31</v>
      </c>
      <c r="M338" t="s">
        <v>32</v>
      </c>
      <c r="N338" t="s">
        <v>32</v>
      </c>
      <c r="O338" t="s">
        <v>32</v>
      </c>
      <c r="P338" t="s">
        <v>33</v>
      </c>
      <c r="Q338" t="s">
        <v>1287</v>
      </c>
      <c r="R338" s="3">
        <v>3</v>
      </c>
      <c r="S338" t="s">
        <v>32</v>
      </c>
      <c r="T338" s="1">
        <v>45397.74145833333</v>
      </c>
      <c r="U338" s="1">
        <v>45428.537407407406</v>
      </c>
      <c r="V338" s="2" t="s">
        <v>1288</v>
      </c>
    </row>
    <row r="339" spans="1:22" hidden="1" x14ac:dyDescent="0.45">
      <c r="A339" t="s">
        <v>1285</v>
      </c>
      <c r="B339" t="s">
        <v>22</v>
      </c>
      <c r="C339" t="s">
        <v>1289</v>
      </c>
      <c r="D339" t="s">
        <v>51</v>
      </c>
      <c r="F339" t="s">
        <v>25</v>
      </c>
      <c r="G339" t="s">
        <v>26</v>
      </c>
      <c r="H339" t="s">
        <v>27</v>
      </c>
      <c r="I339" t="s">
        <v>28</v>
      </c>
      <c r="J339" t="s">
        <v>29</v>
      </c>
      <c r="K339" t="s">
        <v>30</v>
      </c>
      <c r="L339" t="s">
        <v>31</v>
      </c>
      <c r="M339" t="s">
        <v>32</v>
      </c>
      <c r="N339" t="s">
        <v>32</v>
      </c>
      <c r="O339" t="s">
        <v>32</v>
      </c>
      <c r="P339" t="s">
        <v>33</v>
      </c>
      <c r="Q339" t="s">
        <v>1290</v>
      </c>
      <c r="R339" s="3">
        <v>10</v>
      </c>
      <c r="S339" t="s">
        <v>32</v>
      </c>
      <c r="T339" s="1">
        <v>45397.74145833333</v>
      </c>
      <c r="U339" s="1">
        <v>45428.708090277774</v>
      </c>
      <c r="V339" s="2" t="s">
        <v>1291</v>
      </c>
    </row>
    <row r="340" spans="1:22" hidden="1" x14ac:dyDescent="0.45">
      <c r="A340" t="s">
        <v>1285</v>
      </c>
      <c r="B340" t="s">
        <v>22</v>
      </c>
      <c r="C340" t="s">
        <v>1292</v>
      </c>
      <c r="D340" t="s">
        <v>407</v>
      </c>
      <c r="F340" t="s">
        <v>56</v>
      </c>
      <c r="G340" t="s">
        <v>26</v>
      </c>
      <c r="H340" t="s">
        <v>27</v>
      </c>
      <c r="I340" t="s">
        <v>28</v>
      </c>
      <c r="J340" t="s">
        <v>29</v>
      </c>
      <c r="K340" t="s">
        <v>30</v>
      </c>
      <c r="L340" t="s">
        <v>31</v>
      </c>
      <c r="M340" t="s">
        <v>32</v>
      </c>
      <c r="N340" t="s">
        <v>32</v>
      </c>
      <c r="O340" t="s">
        <v>32</v>
      </c>
      <c r="P340" t="s">
        <v>33</v>
      </c>
      <c r="Q340" t="s">
        <v>1293</v>
      </c>
      <c r="R340" s="3">
        <v>10</v>
      </c>
      <c r="S340" t="s">
        <v>32</v>
      </c>
      <c r="T340" s="1">
        <v>45397.74145833333</v>
      </c>
      <c r="U340" s="1">
        <v>45428.718391203707</v>
      </c>
      <c r="V340" s="2" t="s">
        <v>1294</v>
      </c>
    </row>
    <row r="341" spans="1:22" hidden="1" x14ac:dyDescent="0.45">
      <c r="A341" t="s">
        <v>1285</v>
      </c>
      <c r="B341" t="s">
        <v>22</v>
      </c>
      <c r="C341" t="s">
        <v>1295</v>
      </c>
      <c r="D341" t="s">
        <v>75</v>
      </c>
      <c r="F341" t="s">
        <v>25</v>
      </c>
      <c r="G341" t="s">
        <v>26</v>
      </c>
      <c r="H341" t="s">
        <v>27</v>
      </c>
      <c r="I341" t="s">
        <v>28</v>
      </c>
      <c r="J341" t="s">
        <v>29</v>
      </c>
      <c r="K341" t="s">
        <v>30</v>
      </c>
      <c r="L341" t="s">
        <v>31</v>
      </c>
      <c r="M341" t="s">
        <v>32</v>
      </c>
      <c r="N341" t="s">
        <v>32</v>
      </c>
      <c r="O341" t="s">
        <v>32</v>
      </c>
      <c r="P341" t="s">
        <v>33</v>
      </c>
      <c r="Q341" t="s">
        <v>1296</v>
      </c>
      <c r="R341" s="3">
        <v>20</v>
      </c>
      <c r="S341" t="s">
        <v>32</v>
      </c>
      <c r="T341" s="1">
        <v>45397.74145833333</v>
      </c>
      <c r="U341" s="1">
        <v>45483.629432870373</v>
      </c>
      <c r="V341" s="2" t="s">
        <v>1297</v>
      </c>
    </row>
    <row r="342" spans="1:22" hidden="1" x14ac:dyDescent="0.45">
      <c r="A342" t="s">
        <v>1285</v>
      </c>
      <c r="B342" t="s">
        <v>22</v>
      </c>
      <c r="C342" t="s">
        <v>1298</v>
      </c>
      <c r="D342" t="s">
        <v>80</v>
      </c>
      <c r="F342" t="s">
        <v>71</v>
      </c>
      <c r="G342" t="s">
        <v>26</v>
      </c>
      <c r="H342" t="s">
        <v>27</v>
      </c>
      <c r="I342" t="s">
        <v>28</v>
      </c>
      <c r="J342" t="s">
        <v>29</v>
      </c>
      <c r="K342" t="s">
        <v>30</v>
      </c>
      <c r="L342" t="s">
        <v>31</v>
      </c>
      <c r="M342" t="s">
        <v>32</v>
      </c>
      <c r="N342" t="s">
        <v>32</v>
      </c>
      <c r="O342" t="s">
        <v>32</v>
      </c>
      <c r="P342" t="s">
        <v>33</v>
      </c>
      <c r="Q342" t="s">
        <v>1299</v>
      </c>
      <c r="R342" s="3">
        <v>10</v>
      </c>
      <c r="S342" t="s">
        <v>32</v>
      </c>
      <c r="T342" s="1">
        <v>45397.74145833333</v>
      </c>
      <c r="U342" s="1">
        <v>45428.718391203707</v>
      </c>
      <c r="V342" s="2" t="s">
        <v>1300</v>
      </c>
    </row>
    <row r="343" spans="1:22" hidden="1" x14ac:dyDescent="0.45">
      <c r="A343" t="s">
        <v>1285</v>
      </c>
      <c r="B343" t="s">
        <v>22</v>
      </c>
      <c r="C343" t="s">
        <v>1301</v>
      </c>
      <c r="D343" t="s">
        <v>778</v>
      </c>
      <c r="F343" t="s">
        <v>25</v>
      </c>
      <c r="G343" t="s">
        <v>26</v>
      </c>
      <c r="H343" t="s">
        <v>27</v>
      </c>
      <c r="I343" t="s">
        <v>28</v>
      </c>
      <c r="J343" t="s">
        <v>29</v>
      </c>
      <c r="K343" t="s">
        <v>30</v>
      </c>
      <c r="L343" t="s">
        <v>31</v>
      </c>
      <c r="M343" t="s">
        <v>32</v>
      </c>
      <c r="N343" t="s">
        <v>32</v>
      </c>
      <c r="O343" t="s">
        <v>32</v>
      </c>
      <c r="P343" t="s">
        <v>33</v>
      </c>
      <c r="Q343" t="s">
        <v>1302</v>
      </c>
      <c r="R343" s="3" t="s">
        <v>32</v>
      </c>
      <c r="S343" t="s">
        <v>32</v>
      </c>
      <c r="T343" s="1">
        <v>45397.74145833333</v>
      </c>
      <c r="U343" s="1">
        <v>45426.494085648148</v>
      </c>
      <c r="V343" s="2" t="s">
        <v>1303</v>
      </c>
    </row>
    <row r="344" spans="1:22" hidden="1" x14ac:dyDescent="0.45">
      <c r="A344" t="s">
        <v>1285</v>
      </c>
      <c r="B344" t="s">
        <v>22</v>
      </c>
      <c r="C344" t="s">
        <v>1304</v>
      </c>
      <c r="D344" t="s">
        <v>150</v>
      </c>
      <c r="F344" t="s">
        <v>25</v>
      </c>
      <c r="G344" t="s">
        <v>26</v>
      </c>
      <c r="H344" t="s">
        <v>27</v>
      </c>
      <c r="I344" t="s">
        <v>28</v>
      </c>
      <c r="J344" t="s">
        <v>29</v>
      </c>
      <c r="K344" t="s">
        <v>30</v>
      </c>
      <c r="L344" t="s">
        <v>31</v>
      </c>
      <c r="M344" t="s">
        <v>32</v>
      </c>
      <c r="N344" t="s">
        <v>32</v>
      </c>
      <c r="O344" t="s">
        <v>32</v>
      </c>
      <c r="P344" t="s">
        <v>33</v>
      </c>
      <c r="Q344" t="s">
        <v>1305</v>
      </c>
      <c r="R344" s="3">
        <v>10</v>
      </c>
      <c r="S344" t="s">
        <v>32</v>
      </c>
      <c r="T344" s="1">
        <v>45397.74145833333</v>
      </c>
      <c r="U344" s="1">
        <v>45428.708090277774</v>
      </c>
      <c r="V344" s="2" t="s">
        <v>1306</v>
      </c>
    </row>
    <row r="345" spans="1:22" hidden="1" x14ac:dyDescent="0.45">
      <c r="A345" t="s">
        <v>1285</v>
      </c>
      <c r="B345" t="s">
        <v>22</v>
      </c>
      <c r="C345" t="s">
        <v>1307</v>
      </c>
      <c r="D345" t="s">
        <v>162</v>
      </c>
      <c r="F345" t="s">
        <v>25</v>
      </c>
      <c r="G345" t="s">
        <v>26</v>
      </c>
      <c r="H345" t="s">
        <v>27</v>
      </c>
      <c r="I345" t="s">
        <v>28</v>
      </c>
      <c r="J345" t="s">
        <v>29</v>
      </c>
      <c r="K345" t="s">
        <v>30</v>
      </c>
      <c r="L345" t="s">
        <v>31</v>
      </c>
      <c r="M345" t="s">
        <v>32</v>
      </c>
      <c r="N345" t="s">
        <v>32</v>
      </c>
      <c r="O345" t="s">
        <v>32</v>
      </c>
      <c r="P345" t="s">
        <v>33</v>
      </c>
      <c r="Q345" t="s">
        <v>1308</v>
      </c>
      <c r="R345" s="3">
        <v>5</v>
      </c>
      <c r="S345" t="s">
        <v>32</v>
      </c>
      <c r="T345" s="1">
        <v>45397.74145833333</v>
      </c>
      <c r="U345" s="1">
        <v>45428.723946759259</v>
      </c>
      <c r="V345" s="2" t="s">
        <v>1309</v>
      </c>
    </row>
    <row r="346" spans="1:22" hidden="1" x14ac:dyDescent="0.45">
      <c r="A346" t="s">
        <v>1285</v>
      </c>
      <c r="B346" t="s">
        <v>22</v>
      </c>
      <c r="C346" t="s">
        <v>1310</v>
      </c>
      <c r="D346" t="s">
        <v>1311</v>
      </c>
      <c r="F346" t="s">
        <v>25</v>
      </c>
      <c r="G346" t="s">
        <v>26</v>
      </c>
      <c r="H346" t="s">
        <v>27</v>
      </c>
      <c r="I346" t="s">
        <v>28</v>
      </c>
      <c r="J346" t="s">
        <v>29</v>
      </c>
      <c r="K346" t="s">
        <v>30</v>
      </c>
      <c r="L346" t="s">
        <v>31</v>
      </c>
      <c r="M346" t="s">
        <v>32</v>
      </c>
      <c r="N346" t="s">
        <v>32</v>
      </c>
      <c r="O346" t="s">
        <v>32</v>
      </c>
      <c r="P346" t="s">
        <v>33</v>
      </c>
      <c r="Q346" t="s">
        <v>1312</v>
      </c>
      <c r="R346" s="3">
        <v>15</v>
      </c>
      <c r="S346" t="s">
        <v>32</v>
      </c>
      <c r="T346" s="1">
        <v>45397.74145833333</v>
      </c>
      <c r="U346" s="1">
        <v>45441.48883101852</v>
      </c>
      <c r="V346" s="2" t="s">
        <v>1313</v>
      </c>
    </row>
    <row r="347" spans="1:22" hidden="1" x14ac:dyDescent="0.45">
      <c r="A347" t="s">
        <v>1285</v>
      </c>
      <c r="B347" t="s">
        <v>22</v>
      </c>
      <c r="C347" t="s">
        <v>1314</v>
      </c>
      <c r="D347" t="s">
        <v>821</v>
      </c>
      <c r="F347" t="s">
        <v>71</v>
      </c>
      <c r="G347" t="s">
        <v>26</v>
      </c>
      <c r="H347" t="s">
        <v>27</v>
      </c>
      <c r="I347" t="s">
        <v>28</v>
      </c>
      <c r="J347" t="s">
        <v>29</v>
      </c>
      <c r="K347" t="s">
        <v>30</v>
      </c>
      <c r="L347" t="s">
        <v>31</v>
      </c>
      <c r="M347" t="s">
        <v>32</v>
      </c>
      <c r="N347" t="s">
        <v>32</v>
      </c>
      <c r="O347" t="s">
        <v>32</v>
      </c>
      <c r="P347" t="s">
        <v>33</v>
      </c>
      <c r="Q347" t="s">
        <v>1315</v>
      </c>
      <c r="R347" s="3" t="s">
        <v>32</v>
      </c>
      <c r="S347" t="s">
        <v>32</v>
      </c>
      <c r="T347" s="1">
        <v>45397.74145833333</v>
      </c>
      <c r="U347" s="1">
        <v>45545.676620370374</v>
      </c>
      <c r="V347" s="2" t="s">
        <v>1316</v>
      </c>
    </row>
    <row r="348" spans="1:22" hidden="1" x14ac:dyDescent="0.45">
      <c r="A348" t="s">
        <v>1285</v>
      </c>
      <c r="B348" t="s">
        <v>22</v>
      </c>
      <c r="C348" t="s">
        <v>1317</v>
      </c>
      <c r="D348" t="s">
        <v>825</v>
      </c>
      <c r="F348" t="s">
        <v>71</v>
      </c>
      <c r="G348" t="s">
        <v>26</v>
      </c>
      <c r="H348" t="s">
        <v>27</v>
      </c>
      <c r="I348" t="s">
        <v>28</v>
      </c>
      <c r="J348" t="s">
        <v>29</v>
      </c>
      <c r="K348" t="s">
        <v>30</v>
      </c>
      <c r="L348" t="s">
        <v>31</v>
      </c>
      <c r="M348" t="s">
        <v>32</v>
      </c>
      <c r="N348" t="s">
        <v>32</v>
      </c>
      <c r="O348" t="s">
        <v>32</v>
      </c>
      <c r="P348" t="s">
        <v>33</v>
      </c>
      <c r="Q348" t="s">
        <v>1318</v>
      </c>
      <c r="R348" s="3" t="s">
        <v>32</v>
      </c>
      <c r="S348" t="s">
        <v>32</v>
      </c>
      <c r="T348" s="1">
        <v>45397.74145833333</v>
      </c>
      <c r="U348" s="1">
        <v>45545.676932870374</v>
      </c>
      <c r="V348" s="2" t="s">
        <v>1319</v>
      </c>
    </row>
    <row r="349" spans="1:22" hidden="1" x14ac:dyDescent="0.45">
      <c r="A349" t="s">
        <v>1285</v>
      </c>
      <c r="B349" t="s">
        <v>22</v>
      </c>
      <c r="C349" t="s">
        <v>1320</v>
      </c>
      <c r="D349" t="s">
        <v>1321</v>
      </c>
      <c r="F349" t="s">
        <v>25</v>
      </c>
      <c r="G349" t="s">
        <v>26</v>
      </c>
      <c r="H349" t="s">
        <v>27</v>
      </c>
      <c r="I349" t="s">
        <v>28</v>
      </c>
      <c r="J349" t="s">
        <v>29</v>
      </c>
      <c r="K349" t="s">
        <v>30</v>
      </c>
      <c r="L349" t="s">
        <v>31</v>
      </c>
      <c r="M349" t="s">
        <v>32</v>
      </c>
      <c r="N349" t="s">
        <v>32</v>
      </c>
      <c r="O349" t="s">
        <v>32</v>
      </c>
      <c r="P349" t="s">
        <v>33</v>
      </c>
      <c r="Q349" t="s">
        <v>1322</v>
      </c>
      <c r="R349" s="3">
        <v>15</v>
      </c>
      <c r="S349" t="s">
        <v>32</v>
      </c>
      <c r="T349" s="1">
        <v>45397.74145833333</v>
      </c>
      <c r="U349" s="1">
        <v>45441.488530092596</v>
      </c>
      <c r="V349" s="2" t="s">
        <v>1323</v>
      </c>
    </row>
    <row r="350" spans="1:22" hidden="1" x14ac:dyDescent="0.45">
      <c r="A350" t="s">
        <v>1285</v>
      </c>
      <c r="B350" t="s">
        <v>22</v>
      </c>
      <c r="C350" t="s">
        <v>1324</v>
      </c>
      <c r="D350" t="s">
        <v>1325</v>
      </c>
      <c r="F350" t="s">
        <v>25</v>
      </c>
      <c r="G350" t="s">
        <v>26</v>
      </c>
      <c r="H350" t="s">
        <v>27</v>
      </c>
      <c r="I350" t="s">
        <v>28</v>
      </c>
      <c r="J350" t="s">
        <v>29</v>
      </c>
      <c r="K350" t="s">
        <v>30</v>
      </c>
      <c r="L350" t="s">
        <v>31</v>
      </c>
      <c r="M350" t="s">
        <v>32</v>
      </c>
      <c r="N350" t="s">
        <v>32</v>
      </c>
      <c r="O350" t="s">
        <v>32</v>
      </c>
      <c r="P350" t="s">
        <v>33</v>
      </c>
      <c r="Q350" t="s">
        <v>1326</v>
      </c>
      <c r="R350" s="3" t="s">
        <v>32</v>
      </c>
      <c r="S350" t="s">
        <v>32</v>
      </c>
      <c r="T350" s="1">
        <v>45397.74145833333</v>
      </c>
      <c r="U350" s="1">
        <v>45426.495983796296</v>
      </c>
      <c r="V350" s="2" t="s">
        <v>1327</v>
      </c>
    </row>
    <row r="351" spans="1:22" hidden="1" x14ac:dyDescent="0.45">
      <c r="A351" t="s">
        <v>1285</v>
      </c>
      <c r="B351" t="s">
        <v>22</v>
      </c>
      <c r="C351" t="s">
        <v>1328</v>
      </c>
      <c r="D351" t="s">
        <v>1329</v>
      </c>
      <c r="F351" t="s">
        <v>71</v>
      </c>
      <c r="G351" t="s">
        <v>26</v>
      </c>
      <c r="H351" t="s">
        <v>27</v>
      </c>
      <c r="I351" t="s">
        <v>28</v>
      </c>
      <c r="J351" t="s">
        <v>29</v>
      </c>
      <c r="K351" t="s">
        <v>30</v>
      </c>
      <c r="L351" t="s">
        <v>31</v>
      </c>
      <c r="M351" t="s">
        <v>32</v>
      </c>
      <c r="N351" t="s">
        <v>32</v>
      </c>
      <c r="O351" t="s">
        <v>32</v>
      </c>
      <c r="P351" t="s">
        <v>33</v>
      </c>
      <c r="Q351" t="s">
        <v>1330</v>
      </c>
      <c r="R351" s="3">
        <v>3</v>
      </c>
      <c r="S351" t="s">
        <v>32</v>
      </c>
      <c r="T351" s="1">
        <v>45397.74145833333</v>
      </c>
      <c r="U351" s="1">
        <v>45441.493923611109</v>
      </c>
      <c r="V351" s="2" t="s">
        <v>1331</v>
      </c>
    </row>
    <row r="352" spans="1:22" hidden="1" x14ac:dyDescent="0.45">
      <c r="A352" t="s">
        <v>1285</v>
      </c>
      <c r="B352" t="s">
        <v>22</v>
      </c>
      <c r="C352" t="s">
        <v>1332</v>
      </c>
      <c r="D352" t="s">
        <v>1333</v>
      </c>
      <c r="F352" t="s">
        <v>25</v>
      </c>
      <c r="G352" t="s">
        <v>26</v>
      </c>
      <c r="H352" t="s">
        <v>27</v>
      </c>
      <c r="I352" t="s">
        <v>28</v>
      </c>
      <c r="J352" t="s">
        <v>29</v>
      </c>
      <c r="K352" t="s">
        <v>30</v>
      </c>
      <c r="L352" t="s">
        <v>31</v>
      </c>
      <c r="M352" t="s">
        <v>32</v>
      </c>
      <c r="N352" t="s">
        <v>32</v>
      </c>
      <c r="O352" t="s">
        <v>32</v>
      </c>
      <c r="P352" t="s">
        <v>33</v>
      </c>
      <c r="Q352" t="s">
        <v>1334</v>
      </c>
      <c r="R352" s="3" t="s">
        <v>32</v>
      </c>
      <c r="S352" t="s">
        <v>32</v>
      </c>
      <c r="T352" s="1">
        <v>45397.74145833333</v>
      </c>
      <c r="U352" s="1">
        <v>45470.725624999999</v>
      </c>
      <c r="V352" s="2" t="s">
        <v>1335</v>
      </c>
    </row>
    <row r="353" spans="1:22" hidden="1" x14ac:dyDescent="0.45">
      <c r="A353" t="s">
        <v>1285</v>
      </c>
      <c r="B353" t="s">
        <v>22</v>
      </c>
      <c r="C353" t="s">
        <v>1336</v>
      </c>
      <c r="D353" t="s">
        <v>1337</v>
      </c>
      <c r="F353" t="s">
        <v>71</v>
      </c>
      <c r="G353" t="s">
        <v>26</v>
      </c>
      <c r="H353" t="s">
        <v>27</v>
      </c>
      <c r="I353" t="s">
        <v>28</v>
      </c>
      <c r="J353" t="s">
        <v>29</v>
      </c>
      <c r="K353" t="s">
        <v>30</v>
      </c>
      <c r="L353" t="s">
        <v>31</v>
      </c>
      <c r="M353" t="s">
        <v>32</v>
      </c>
      <c r="N353" t="s">
        <v>32</v>
      </c>
      <c r="O353" t="s">
        <v>32</v>
      </c>
      <c r="P353" t="s">
        <v>33</v>
      </c>
      <c r="Q353" t="s">
        <v>1338</v>
      </c>
      <c r="R353" s="3" t="s">
        <v>32</v>
      </c>
      <c r="S353" t="s">
        <v>32</v>
      </c>
      <c r="T353" s="1">
        <v>45397.74145833333</v>
      </c>
      <c r="U353" s="1">
        <v>45426.499641203707</v>
      </c>
      <c r="V353" s="2" t="s">
        <v>1339</v>
      </c>
    </row>
    <row r="354" spans="1:22" hidden="1" x14ac:dyDescent="0.45">
      <c r="A354" t="s">
        <v>1285</v>
      </c>
      <c r="B354" t="s">
        <v>22</v>
      </c>
      <c r="C354" t="s">
        <v>1340</v>
      </c>
      <c r="D354" t="s">
        <v>1341</v>
      </c>
      <c r="F354" t="s">
        <v>71</v>
      </c>
      <c r="G354" t="s">
        <v>26</v>
      </c>
      <c r="H354" t="s">
        <v>27</v>
      </c>
      <c r="I354" t="s">
        <v>28</v>
      </c>
      <c r="J354" t="s">
        <v>29</v>
      </c>
      <c r="K354" t="s">
        <v>30</v>
      </c>
      <c r="L354" t="s">
        <v>31</v>
      </c>
      <c r="M354" t="s">
        <v>32</v>
      </c>
      <c r="N354" t="s">
        <v>32</v>
      </c>
      <c r="O354" t="s">
        <v>32</v>
      </c>
      <c r="P354" t="s">
        <v>33</v>
      </c>
      <c r="Q354" t="s">
        <v>1342</v>
      </c>
      <c r="R354" s="3" t="s">
        <v>32</v>
      </c>
      <c r="S354" t="s">
        <v>32</v>
      </c>
      <c r="T354" s="1">
        <v>45397.74145833333</v>
      </c>
      <c r="U354" s="1">
        <v>45426.500081018516</v>
      </c>
      <c r="V354" s="2" t="s">
        <v>1343</v>
      </c>
    </row>
    <row r="355" spans="1:22" hidden="1" x14ac:dyDescent="0.45">
      <c r="A355" t="s">
        <v>1285</v>
      </c>
      <c r="B355" t="s">
        <v>22</v>
      </c>
      <c r="C355" t="s">
        <v>1344</v>
      </c>
      <c r="D355" t="s">
        <v>1345</v>
      </c>
      <c r="F355" t="s">
        <v>71</v>
      </c>
      <c r="G355" t="s">
        <v>26</v>
      </c>
      <c r="H355" t="s">
        <v>27</v>
      </c>
      <c r="I355" t="s">
        <v>28</v>
      </c>
      <c r="J355" t="s">
        <v>29</v>
      </c>
      <c r="K355" t="s">
        <v>30</v>
      </c>
      <c r="L355" t="s">
        <v>31</v>
      </c>
      <c r="M355" t="s">
        <v>32</v>
      </c>
      <c r="N355" t="s">
        <v>32</v>
      </c>
      <c r="O355" t="s">
        <v>32</v>
      </c>
      <c r="P355" t="s">
        <v>33</v>
      </c>
      <c r="Q355" t="s">
        <v>1346</v>
      </c>
      <c r="R355" s="3">
        <v>3</v>
      </c>
      <c r="S355" t="s">
        <v>32</v>
      </c>
      <c r="T355" s="1">
        <v>45397.74145833333</v>
      </c>
      <c r="U355" s="1">
        <v>45428.720671296294</v>
      </c>
      <c r="V355" s="2" t="s">
        <v>1347</v>
      </c>
    </row>
    <row r="356" spans="1:22" hidden="1" x14ac:dyDescent="0.45">
      <c r="A356" t="s">
        <v>1285</v>
      </c>
      <c r="B356" t="s">
        <v>22</v>
      </c>
      <c r="C356" t="s">
        <v>1348</v>
      </c>
      <c r="D356" t="s">
        <v>1349</v>
      </c>
      <c r="F356" t="s">
        <v>71</v>
      </c>
      <c r="G356" t="s">
        <v>26</v>
      </c>
      <c r="H356" t="s">
        <v>27</v>
      </c>
      <c r="I356" t="s">
        <v>28</v>
      </c>
      <c r="J356" t="s">
        <v>29</v>
      </c>
      <c r="K356" t="s">
        <v>30</v>
      </c>
      <c r="L356" t="s">
        <v>31</v>
      </c>
      <c r="M356" t="s">
        <v>32</v>
      </c>
      <c r="N356" t="s">
        <v>32</v>
      </c>
      <c r="O356" t="s">
        <v>32</v>
      </c>
      <c r="P356" t="s">
        <v>33</v>
      </c>
      <c r="Q356" t="s">
        <v>1350</v>
      </c>
      <c r="R356" s="3">
        <v>3</v>
      </c>
      <c r="S356" t="s">
        <v>32</v>
      </c>
      <c r="T356" s="1">
        <v>45397.741469907407</v>
      </c>
      <c r="U356" s="1">
        <v>45428.720671296294</v>
      </c>
      <c r="V356" s="2" t="s">
        <v>1351</v>
      </c>
    </row>
    <row r="357" spans="1:22" hidden="1" x14ac:dyDescent="0.45">
      <c r="A357" t="s">
        <v>1285</v>
      </c>
      <c r="B357" t="s">
        <v>22</v>
      </c>
      <c r="C357" t="s">
        <v>1352</v>
      </c>
      <c r="D357" t="s">
        <v>1353</v>
      </c>
      <c r="F357" t="s">
        <v>25</v>
      </c>
      <c r="G357" t="s">
        <v>26</v>
      </c>
      <c r="H357" t="s">
        <v>27</v>
      </c>
      <c r="I357" t="s">
        <v>28</v>
      </c>
      <c r="J357" t="s">
        <v>29</v>
      </c>
      <c r="K357" t="s">
        <v>30</v>
      </c>
      <c r="L357" t="s">
        <v>31</v>
      </c>
      <c r="M357" t="s">
        <v>32</v>
      </c>
      <c r="N357" t="s">
        <v>32</v>
      </c>
      <c r="O357" t="s">
        <v>32</v>
      </c>
      <c r="P357" t="s">
        <v>33</v>
      </c>
      <c r="Q357" t="s">
        <v>1354</v>
      </c>
      <c r="R357" s="3" t="s">
        <v>32</v>
      </c>
      <c r="S357" t="s">
        <v>32</v>
      </c>
      <c r="T357" s="1">
        <v>45397.741469907407</v>
      </c>
      <c r="U357" s="1">
        <v>45426.501446759263</v>
      </c>
      <c r="V357" s="2" t="s">
        <v>1355</v>
      </c>
    </row>
    <row r="358" spans="1:22" hidden="1" x14ac:dyDescent="0.45">
      <c r="A358" t="s">
        <v>1285</v>
      </c>
      <c r="B358" t="s">
        <v>22</v>
      </c>
      <c r="C358" t="s">
        <v>1356</v>
      </c>
      <c r="D358" t="s">
        <v>1357</v>
      </c>
      <c r="F358" t="s">
        <v>25</v>
      </c>
      <c r="G358" t="s">
        <v>26</v>
      </c>
      <c r="H358" t="s">
        <v>27</v>
      </c>
      <c r="I358" t="s">
        <v>28</v>
      </c>
      <c r="J358" t="s">
        <v>29</v>
      </c>
      <c r="K358" t="s">
        <v>30</v>
      </c>
      <c r="L358" t="s">
        <v>31</v>
      </c>
      <c r="M358" t="s">
        <v>32</v>
      </c>
      <c r="N358" t="s">
        <v>32</v>
      </c>
      <c r="O358" t="s">
        <v>32</v>
      </c>
      <c r="P358" t="s">
        <v>33</v>
      </c>
      <c r="Q358" t="s">
        <v>1358</v>
      </c>
      <c r="R358" s="3">
        <v>15</v>
      </c>
      <c r="S358" t="s">
        <v>32</v>
      </c>
      <c r="T358" s="1">
        <v>45397.741469907407</v>
      </c>
      <c r="U358" s="1">
        <v>45441.491099537037</v>
      </c>
      <c r="V358" s="2" t="s">
        <v>1359</v>
      </c>
    </row>
    <row r="359" spans="1:22" hidden="1" x14ac:dyDescent="0.45">
      <c r="A359" t="s">
        <v>1285</v>
      </c>
      <c r="B359" t="s">
        <v>22</v>
      </c>
      <c r="C359" t="s">
        <v>1360</v>
      </c>
      <c r="D359" t="s">
        <v>1361</v>
      </c>
      <c r="F359" t="s">
        <v>25</v>
      </c>
      <c r="G359" t="s">
        <v>26</v>
      </c>
      <c r="H359" t="s">
        <v>27</v>
      </c>
      <c r="I359" t="s">
        <v>28</v>
      </c>
      <c r="J359" t="s">
        <v>29</v>
      </c>
      <c r="K359" t="s">
        <v>30</v>
      </c>
      <c r="L359" t="s">
        <v>31</v>
      </c>
      <c r="M359" t="s">
        <v>32</v>
      </c>
      <c r="N359" t="s">
        <v>32</v>
      </c>
      <c r="O359" t="s">
        <v>32</v>
      </c>
      <c r="P359" t="s">
        <v>33</v>
      </c>
      <c r="Q359" t="s">
        <v>1362</v>
      </c>
      <c r="R359" s="3">
        <v>15</v>
      </c>
      <c r="S359" t="s">
        <v>32</v>
      </c>
      <c r="T359" s="1">
        <v>45397.741469907407</v>
      </c>
      <c r="U359" s="1">
        <v>45483.656967592593</v>
      </c>
      <c r="V359" s="2" t="s">
        <v>1363</v>
      </c>
    </row>
    <row r="360" spans="1:22" hidden="1" x14ac:dyDescent="0.45">
      <c r="A360" t="s">
        <v>1285</v>
      </c>
      <c r="B360" t="s">
        <v>22</v>
      </c>
      <c r="C360" t="s">
        <v>1364</v>
      </c>
      <c r="D360" t="s">
        <v>1365</v>
      </c>
      <c r="F360" t="s">
        <v>25</v>
      </c>
      <c r="G360" t="s">
        <v>26</v>
      </c>
      <c r="H360" t="s">
        <v>27</v>
      </c>
      <c r="I360" t="s">
        <v>28</v>
      </c>
      <c r="J360" t="s">
        <v>29</v>
      </c>
      <c r="K360" t="s">
        <v>30</v>
      </c>
      <c r="L360" t="s">
        <v>31</v>
      </c>
      <c r="M360" t="s">
        <v>32</v>
      </c>
      <c r="N360" t="s">
        <v>32</v>
      </c>
      <c r="O360" t="s">
        <v>32</v>
      </c>
      <c r="P360" t="s">
        <v>33</v>
      </c>
      <c r="Q360" t="s">
        <v>1366</v>
      </c>
      <c r="R360" s="3">
        <v>15</v>
      </c>
      <c r="S360" t="s">
        <v>32</v>
      </c>
      <c r="T360" s="1">
        <v>45397.741469907407</v>
      </c>
      <c r="U360" s="1">
        <v>45483.657106481478</v>
      </c>
      <c r="V360" s="2" t="s">
        <v>1367</v>
      </c>
    </row>
    <row r="361" spans="1:22" hidden="1" x14ac:dyDescent="0.45">
      <c r="A361" t="s">
        <v>1285</v>
      </c>
      <c r="B361" t="s">
        <v>22</v>
      </c>
      <c r="C361" t="s">
        <v>1368</v>
      </c>
      <c r="D361" t="s">
        <v>1369</v>
      </c>
      <c r="F361" t="s">
        <v>85</v>
      </c>
      <c r="G361" t="s">
        <v>26</v>
      </c>
      <c r="H361" t="s">
        <v>27</v>
      </c>
      <c r="I361" t="s">
        <v>28</v>
      </c>
      <c r="J361" t="s">
        <v>29</v>
      </c>
      <c r="K361" t="s">
        <v>30</v>
      </c>
      <c r="L361" t="s">
        <v>31</v>
      </c>
      <c r="M361" t="s">
        <v>32</v>
      </c>
      <c r="N361" t="s">
        <v>32</v>
      </c>
      <c r="O361" t="s">
        <v>32</v>
      </c>
      <c r="P361" t="s">
        <v>33</v>
      </c>
      <c r="Q361" t="s">
        <v>1370</v>
      </c>
      <c r="R361" s="3" t="s">
        <v>32</v>
      </c>
      <c r="S361" t="s">
        <v>32</v>
      </c>
      <c r="T361" s="1">
        <v>45397.741469907407</v>
      </c>
      <c r="U361" s="1">
        <v>45426.513796296298</v>
      </c>
      <c r="V361" s="2" t="s">
        <v>1371</v>
      </c>
    </row>
    <row r="362" spans="1:22" hidden="1" x14ac:dyDescent="0.45">
      <c r="A362" t="s">
        <v>1285</v>
      </c>
      <c r="B362" t="s">
        <v>22</v>
      </c>
      <c r="C362" t="s">
        <v>1372</v>
      </c>
      <c r="D362" t="s">
        <v>484</v>
      </c>
      <c r="F362" t="s">
        <v>25</v>
      </c>
      <c r="G362" t="s">
        <v>26</v>
      </c>
      <c r="H362" t="s">
        <v>27</v>
      </c>
      <c r="I362" t="s">
        <v>28</v>
      </c>
      <c r="J362" t="s">
        <v>29</v>
      </c>
      <c r="K362" t="s">
        <v>30</v>
      </c>
      <c r="L362" t="s">
        <v>31</v>
      </c>
      <c r="M362" t="s">
        <v>32</v>
      </c>
      <c r="N362" t="s">
        <v>32</v>
      </c>
      <c r="O362" t="s">
        <v>32</v>
      </c>
      <c r="P362" t="s">
        <v>33</v>
      </c>
      <c r="Q362" t="s">
        <v>1373</v>
      </c>
      <c r="R362" s="3">
        <v>15</v>
      </c>
      <c r="S362" t="s">
        <v>32</v>
      </c>
      <c r="T362" s="1">
        <v>45397.741469907407</v>
      </c>
      <c r="U362" s="1">
        <v>45483.657650462963</v>
      </c>
      <c r="V362" s="2" t="s">
        <v>1374</v>
      </c>
    </row>
    <row r="363" spans="1:22" hidden="1" x14ac:dyDescent="0.45">
      <c r="A363" t="s">
        <v>1285</v>
      </c>
      <c r="B363" t="s">
        <v>22</v>
      </c>
      <c r="C363" t="s">
        <v>1375</v>
      </c>
      <c r="D363" t="s">
        <v>1376</v>
      </c>
      <c r="F363" t="s">
        <v>25</v>
      </c>
      <c r="G363" t="s">
        <v>26</v>
      </c>
      <c r="H363" t="s">
        <v>27</v>
      </c>
      <c r="I363" t="s">
        <v>28</v>
      </c>
      <c r="J363" t="s">
        <v>29</v>
      </c>
      <c r="K363" t="s">
        <v>30</v>
      </c>
      <c r="L363" t="s">
        <v>31</v>
      </c>
      <c r="M363" t="s">
        <v>32</v>
      </c>
      <c r="N363" t="s">
        <v>32</v>
      </c>
      <c r="O363" t="s">
        <v>32</v>
      </c>
      <c r="P363" t="s">
        <v>33</v>
      </c>
      <c r="Q363" t="s">
        <v>1377</v>
      </c>
      <c r="R363" s="3" t="s">
        <v>32</v>
      </c>
      <c r="S363" t="s">
        <v>32</v>
      </c>
      <c r="T363" s="1">
        <v>45397.741469907407</v>
      </c>
      <c r="U363" s="1">
        <v>45426.516099537039</v>
      </c>
      <c r="V363" s="2" t="s">
        <v>1378</v>
      </c>
    </row>
    <row r="364" spans="1:22" hidden="1" x14ac:dyDescent="0.45">
      <c r="A364" t="s">
        <v>1285</v>
      </c>
      <c r="B364" t="s">
        <v>22</v>
      </c>
      <c r="C364" t="s">
        <v>1379</v>
      </c>
      <c r="D364" t="s">
        <v>1380</v>
      </c>
      <c r="F364" t="s">
        <v>71</v>
      </c>
      <c r="G364" t="s">
        <v>26</v>
      </c>
      <c r="H364" t="s">
        <v>27</v>
      </c>
      <c r="I364" t="s">
        <v>28</v>
      </c>
      <c r="J364" t="s">
        <v>29</v>
      </c>
      <c r="K364" t="s">
        <v>30</v>
      </c>
      <c r="L364" t="s">
        <v>31</v>
      </c>
      <c r="M364" t="s">
        <v>32</v>
      </c>
      <c r="N364" t="s">
        <v>32</v>
      </c>
      <c r="O364" t="s">
        <v>32</v>
      </c>
      <c r="P364" t="s">
        <v>33</v>
      </c>
      <c r="Q364" t="s">
        <v>1381</v>
      </c>
      <c r="R364" s="3">
        <v>3</v>
      </c>
      <c r="S364" t="s">
        <v>32</v>
      </c>
      <c r="T364" s="1">
        <v>45397.741469907407</v>
      </c>
      <c r="U364" s="1">
        <v>45484.60665509259</v>
      </c>
      <c r="V364" s="2" t="s">
        <v>1382</v>
      </c>
    </row>
    <row r="365" spans="1:22" hidden="1" x14ac:dyDescent="0.45">
      <c r="A365" t="s">
        <v>1285</v>
      </c>
      <c r="B365" t="s">
        <v>22</v>
      </c>
      <c r="C365" t="s">
        <v>1383</v>
      </c>
      <c r="D365" t="s">
        <v>1384</v>
      </c>
      <c r="F365" t="s">
        <v>71</v>
      </c>
      <c r="G365" t="s">
        <v>26</v>
      </c>
      <c r="H365" t="s">
        <v>27</v>
      </c>
      <c r="I365" t="s">
        <v>28</v>
      </c>
      <c r="J365" t="s">
        <v>29</v>
      </c>
      <c r="K365" t="s">
        <v>30</v>
      </c>
      <c r="L365" t="s">
        <v>31</v>
      </c>
      <c r="M365" t="s">
        <v>32</v>
      </c>
      <c r="N365" t="s">
        <v>32</v>
      </c>
      <c r="O365" t="s">
        <v>32</v>
      </c>
      <c r="P365" t="s">
        <v>33</v>
      </c>
      <c r="Q365" t="s">
        <v>1385</v>
      </c>
      <c r="R365" s="3" t="s">
        <v>32</v>
      </c>
      <c r="S365" t="s">
        <v>32</v>
      </c>
      <c r="T365" s="1">
        <v>45397.741469907407</v>
      </c>
      <c r="U365" s="1">
        <v>45426.517083333332</v>
      </c>
      <c r="V365" s="2" t="s">
        <v>1386</v>
      </c>
    </row>
    <row r="366" spans="1:22" hidden="1" x14ac:dyDescent="0.45">
      <c r="A366" t="s">
        <v>1285</v>
      </c>
      <c r="B366" t="s">
        <v>22</v>
      </c>
      <c r="C366" t="s">
        <v>1387</v>
      </c>
      <c r="D366" t="s">
        <v>1388</v>
      </c>
      <c r="F366" t="s">
        <v>85</v>
      </c>
      <c r="G366" t="s">
        <v>26</v>
      </c>
      <c r="H366" t="s">
        <v>27</v>
      </c>
      <c r="I366" t="s">
        <v>28</v>
      </c>
      <c r="J366" t="s">
        <v>29</v>
      </c>
      <c r="K366" t="s">
        <v>30</v>
      </c>
      <c r="L366" t="s">
        <v>31</v>
      </c>
      <c r="M366" t="s">
        <v>32</v>
      </c>
      <c r="N366" t="s">
        <v>32</v>
      </c>
      <c r="O366" t="s">
        <v>32</v>
      </c>
      <c r="P366" t="s">
        <v>33</v>
      </c>
      <c r="Q366" t="s">
        <v>1389</v>
      </c>
      <c r="R366" s="3" t="s">
        <v>32</v>
      </c>
      <c r="S366" t="s">
        <v>32</v>
      </c>
      <c r="T366" s="1">
        <v>45397.741469907407</v>
      </c>
      <c r="U366" s="1">
        <v>45426.517407407409</v>
      </c>
      <c r="V366" s="2" t="s">
        <v>1390</v>
      </c>
    </row>
    <row r="367" spans="1:22" hidden="1" x14ac:dyDescent="0.45">
      <c r="A367" t="s">
        <v>1285</v>
      </c>
      <c r="B367" t="s">
        <v>22</v>
      </c>
      <c r="C367" t="s">
        <v>1391</v>
      </c>
      <c r="D367" t="s">
        <v>1392</v>
      </c>
      <c r="F367" t="s">
        <v>85</v>
      </c>
      <c r="G367" t="s">
        <v>26</v>
      </c>
      <c r="H367" t="s">
        <v>27</v>
      </c>
      <c r="I367" t="s">
        <v>28</v>
      </c>
      <c r="J367" t="s">
        <v>29</v>
      </c>
      <c r="K367" t="s">
        <v>30</v>
      </c>
      <c r="L367" t="s">
        <v>31</v>
      </c>
      <c r="M367" t="s">
        <v>32</v>
      </c>
      <c r="N367" t="s">
        <v>32</v>
      </c>
      <c r="O367" t="s">
        <v>32</v>
      </c>
      <c r="P367" t="s">
        <v>33</v>
      </c>
      <c r="Q367" t="s">
        <v>1393</v>
      </c>
      <c r="R367" s="3" t="s">
        <v>32</v>
      </c>
      <c r="S367" t="s">
        <v>32</v>
      </c>
      <c r="T367" s="1">
        <v>45397.741469907407</v>
      </c>
      <c r="U367" s="1">
        <v>45426.520254629628</v>
      </c>
      <c r="V367" s="2" t="s">
        <v>1394</v>
      </c>
    </row>
    <row r="368" spans="1:22" hidden="1" x14ac:dyDescent="0.45">
      <c r="A368" t="s">
        <v>1285</v>
      </c>
      <c r="B368" t="s">
        <v>22</v>
      </c>
      <c r="C368" t="s">
        <v>1395</v>
      </c>
      <c r="D368" t="s">
        <v>1396</v>
      </c>
      <c r="F368" t="s">
        <v>71</v>
      </c>
      <c r="G368" t="s">
        <v>26</v>
      </c>
      <c r="H368" t="s">
        <v>27</v>
      </c>
      <c r="I368" t="s">
        <v>28</v>
      </c>
      <c r="J368" t="s">
        <v>29</v>
      </c>
      <c r="K368" t="s">
        <v>30</v>
      </c>
      <c r="L368" t="s">
        <v>31</v>
      </c>
      <c r="M368" t="s">
        <v>32</v>
      </c>
      <c r="N368" t="s">
        <v>32</v>
      </c>
      <c r="O368" t="s">
        <v>32</v>
      </c>
      <c r="P368" t="s">
        <v>33</v>
      </c>
      <c r="Q368" t="s">
        <v>1397</v>
      </c>
      <c r="R368" s="3" t="s">
        <v>32</v>
      </c>
      <c r="S368" t="s">
        <v>32</v>
      </c>
      <c r="T368" s="1">
        <v>45397.741469907407</v>
      </c>
      <c r="U368" s="1">
        <v>45426.520590277774</v>
      </c>
      <c r="V368" s="2" t="s">
        <v>1398</v>
      </c>
    </row>
    <row r="369" spans="1:22" hidden="1" x14ac:dyDescent="0.45">
      <c r="A369" t="s">
        <v>1285</v>
      </c>
      <c r="B369" t="s">
        <v>22</v>
      </c>
      <c r="C369" t="s">
        <v>1399</v>
      </c>
      <c r="D369" t="s">
        <v>1400</v>
      </c>
      <c r="F369" t="s">
        <v>71</v>
      </c>
      <c r="G369" t="s">
        <v>26</v>
      </c>
      <c r="H369" t="s">
        <v>27</v>
      </c>
      <c r="I369" t="s">
        <v>28</v>
      </c>
      <c r="J369" t="s">
        <v>29</v>
      </c>
      <c r="K369" t="s">
        <v>30</v>
      </c>
      <c r="L369" t="s">
        <v>31</v>
      </c>
      <c r="M369" t="s">
        <v>32</v>
      </c>
      <c r="N369" t="s">
        <v>32</v>
      </c>
      <c r="O369" t="s">
        <v>32</v>
      </c>
      <c r="P369" t="s">
        <v>33</v>
      </c>
      <c r="Q369" t="s">
        <v>1401</v>
      </c>
      <c r="R369" s="3" t="s">
        <v>32</v>
      </c>
      <c r="S369" t="s">
        <v>32</v>
      </c>
      <c r="T369" s="1">
        <v>45397.741469907407</v>
      </c>
      <c r="U369" s="1">
        <v>45426.520821759259</v>
      </c>
      <c r="V369" s="2" t="s">
        <v>1402</v>
      </c>
    </row>
    <row r="370" spans="1:22" hidden="1" x14ac:dyDescent="0.45">
      <c r="A370" t="s">
        <v>1285</v>
      </c>
      <c r="B370" t="s">
        <v>22</v>
      </c>
      <c r="C370" t="s">
        <v>1403</v>
      </c>
      <c r="D370" t="s">
        <v>1404</v>
      </c>
      <c r="F370" t="s">
        <v>85</v>
      </c>
      <c r="G370" t="s">
        <v>26</v>
      </c>
      <c r="H370" t="s">
        <v>27</v>
      </c>
      <c r="I370" t="s">
        <v>28</v>
      </c>
      <c r="J370" t="s">
        <v>29</v>
      </c>
      <c r="K370" t="s">
        <v>30</v>
      </c>
      <c r="L370" t="s">
        <v>31</v>
      </c>
      <c r="M370" t="s">
        <v>32</v>
      </c>
      <c r="N370" t="s">
        <v>32</v>
      </c>
      <c r="O370" t="s">
        <v>32</v>
      </c>
      <c r="P370" t="s">
        <v>33</v>
      </c>
      <c r="Q370" t="s">
        <v>1405</v>
      </c>
      <c r="R370" s="3">
        <v>15</v>
      </c>
      <c r="S370" t="s">
        <v>32</v>
      </c>
      <c r="T370" s="1">
        <v>45397.741469907407</v>
      </c>
      <c r="U370" s="1">
        <v>45441.490752314814</v>
      </c>
      <c r="V370" s="2" t="s">
        <v>1406</v>
      </c>
    </row>
    <row r="371" spans="1:22" hidden="1" x14ac:dyDescent="0.45">
      <c r="A371" t="s">
        <v>1285</v>
      </c>
      <c r="B371" t="s">
        <v>22</v>
      </c>
      <c r="C371" t="s">
        <v>1407</v>
      </c>
      <c r="D371" t="s">
        <v>1408</v>
      </c>
      <c r="F371" t="s">
        <v>71</v>
      </c>
      <c r="G371" t="s">
        <v>26</v>
      </c>
      <c r="H371" t="s">
        <v>27</v>
      </c>
      <c r="I371" t="s">
        <v>28</v>
      </c>
      <c r="J371" t="s">
        <v>29</v>
      </c>
      <c r="K371" t="s">
        <v>30</v>
      </c>
      <c r="L371" t="s">
        <v>31</v>
      </c>
      <c r="M371" t="s">
        <v>32</v>
      </c>
      <c r="N371" t="s">
        <v>32</v>
      </c>
      <c r="O371" t="s">
        <v>32</v>
      </c>
      <c r="P371" t="s">
        <v>33</v>
      </c>
      <c r="Q371" t="s">
        <v>1409</v>
      </c>
      <c r="R371" s="3">
        <v>5</v>
      </c>
      <c r="S371" t="s">
        <v>32</v>
      </c>
      <c r="T371" s="1">
        <v>45397.741469907407</v>
      </c>
      <c r="U371" s="1">
        <v>45441.489756944444</v>
      </c>
      <c r="V371" s="2" t="s">
        <v>1410</v>
      </c>
    </row>
    <row r="372" spans="1:22" hidden="1" x14ac:dyDescent="0.45">
      <c r="A372" t="s">
        <v>1285</v>
      </c>
      <c r="B372" t="s">
        <v>22</v>
      </c>
      <c r="C372" t="s">
        <v>1411</v>
      </c>
      <c r="D372" t="s">
        <v>1412</v>
      </c>
      <c r="F372" t="s">
        <v>71</v>
      </c>
      <c r="G372" t="s">
        <v>26</v>
      </c>
      <c r="H372" t="s">
        <v>27</v>
      </c>
      <c r="I372" t="s">
        <v>28</v>
      </c>
      <c r="J372" t="s">
        <v>29</v>
      </c>
      <c r="K372" t="s">
        <v>30</v>
      </c>
      <c r="L372" t="s">
        <v>31</v>
      </c>
      <c r="M372" t="s">
        <v>32</v>
      </c>
      <c r="N372" t="s">
        <v>32</v>
      </c>
      <c r="O372" t="s">
        <v>32</v>
      </c>
      <c r="P372" t="s">
        <v>33</v>
      </c>
      <c r="Q372" t="s">
        <v>1413</v>
      </c>
      <c r="R372" s="3">
        <v>5</v>
      </c>
      <c r="S372" t="s">
        <v>32</v>
      </c>
      <c r="T372" s="1">
        <v>45397.741469907407</v>
      </c>
      <c r="U372" s="1">
        <v>45441.489756944444</v>
      </c>
      <c r="V372" s="2" t="s">
        <v>1414</v>
      </c>
    </row>
    <row r="373" spans="1:22" hidden="1" x14ac:dyDescent="0.45">
      <c r="A373" t="s">
        <v>1285</v>
      </c>
      <c r="B373" t="s">
        <v>22</v>
      </c>
      <c r="C373" t="s">
        <v>1415</v>
      </c>
      <c r="D373" t="s">
        <v>1416</v>
      </c>
      <c r="F373" t="s">
        <v>71</v>
      </c>
      <c r="G373" t="s">
        <v>26</v>
      </c>
      <c r="H373" t="s">
        <v>27</v>
      </c>
      <c r="I373" t="s">
        <v>28</v>
      </c>
      <c r="J373" t="s">
        <v>29</v>
      </c>
      <c r="K373" t="s">
        <v>30</v>
      </c>
      <c r="L373" t="s">
        <v>31</v>
      </c>
      <c r="M373" t="s">
        <v>32</v>
      </c>
      <c r="N373" t="s">
        <v>32</v>
      </c>
      <c r="O373" t="s">
        <v>32</v>
      </c>
      <c r="P373" t="s">
        <v>33</v>
      </c>
      <c r="Q373" t="s">
        <v>1417</v>
      </c>
      <c r="R373" s="3">
        <v>5</v>
      </c>
      <c r="S373" t="s">
        <v>32</v>
      </c>
      <c r="T373" s="1">
        <v>45397.741469907407</v>
      </c>
      <c r="U373" s="1">
        <v>45441.489756944444</v>
      </c>
      <c r="V373" s="2" t="s">
        <v>1418</v>
      </c>
    </row>
    <row r="374" spans="1:22" hidden="1" x14ac:dyDescent="0.45">
      <c r="A374" t="s">
        <v>1285</v>
      </c>
      <c r="B374" t="s">
        <v>22</v>
      </c>
      <c r="C374" t="s">
        <v>1419</v>
      </c>
      <c r="D374" t="s">
        <v>1420</v>
      </c>
      <c r="F374" t="s">
        <v>71</v>
      </c>
      <c r="G374" t="s">
        <v>26</v>
      </c>
      <c r="H374" t="s">
        <v>27</v>
      </c>
      <c r="I374" t="s">
        <v>28</v>
      </c>
      <c r="J374" t="s">
        <v>29</v>
      </c>
      <c r="K374" t="s">
        <v>30</v>
      </c>
      <c r="L374" t="s">
        <v>31</v>
      </c>
      <c r="M374" t="s">
        <v>32</v>
      </c>
      <c r="N374" t="s">
        <v>32</v>
      </c>
      <c r="O374" t="s">
        <v>32</v>
      </c>
      <c r="P374" t="s">
        <v>33</v>
      </c>
      <c r="Q374" t="s">
        <v>1421</v>
      </c>
      <c r="R374" s="3">
        <v>5</v>
      </c>
      <c r="S374" t="s">
        <v>32</v>
      </c>
      <c r="T374" s="1">
        <v>45397.741469907407</v>
      </c>
      <c r="U374" s="1">
        <v>45441.489756944444</v>
      </c>
      <c r="V374" s="2" t="s">
        <v>1422</v>
      </c>
    </row>
    <row r="375" spans="1:22" hidden="1" x14ac:dyDescent="0.45">
      <c r="A375" t="s">
        <v>1285</v>
      </c>
      <c r="B375" t="s">
        <v>22</v>
      </c>
      <c r="C375" t="s">
        <v>1423</v>
      </c>
      <c r="D375" t="s">
        <v>1424</v>
      </c>
      <c r="F375" t="s">
        <v>71</v>
      </c>
      <c r="G375" t="s">
        <v>26</v>
      </c>
      <c r="H375" t="s">
        <v>27</v>
      </c>
      <c r="I375" t="s">
        <v>28</v>
      </c>
      <c r="J375" t="s">
        <v>29</v>
      </c>
      <c r="K375" t="s">
        <v>30</v>
      </c>
      <c r="L375" t="s">
        <v>31</v>
      </c>
      <c r="M375" t="s">
        <v>32</v>
      </c>
      <c r="N375" t="s">
        <v>32</v>
      </c>
      <c r="O375" t="s">
        <v>32</v>
      </c>
      <c r="P375" t="s">
        <v>33</v>
      </c>
      <c r="Q375" t="s">
        <v>1425</v>
      </c>
      <c r="R375" s="3">
        <v>5</v>
      </c>
      <c r="S375" t="s">
        <v>32</v>
      </c>
      <c r="T375" s="1">
        <v>45397.741469907407</v>
      </c>
      <c r="U375" s="1">
        <v>45441.489756944444</v>
      </c>
      <c r="V375" s="2" t="s">
        <v>1426</v>
      </c>
    </row>
    <row r="376" spans="1:22" hidden="1" x14ac:dyDescent="0.45">
      <c r="A376" t="s">
        <v>1285</v>
      </c>
      <c r="B376" t="s">
        <v>22</v>
      </c>
      <c r="C376" t="s">
        <v>1427</v>
      </c>
      <c r="D376" t="s">
        <v>1428</v>
      </c>
      <c r="F376" t="s">
        <v>71</v>
      </c>
      <c r="G376" t="s">
        <v>26</v>
      </c>
      <c r="H376" t="s">
        <v>27</v>
      </c>
      <c r="I376" t="s">
        <v>28</v>
      </c>
      <c r="J376" t="s">
        <v>29</v>
      </c>
      <c r="K376" t="s">
        <v>30</v>
      </c>
      <c r="L376" t="s">
        <v>31</v>
      </c>
      <c r="M376" t="s">
        <v>32</v>
      </c>
      <c r="N376" t="s">
        <v>32</v>
      </c>
      <c r="O376" t="s">
        <v>32</v>
      </c>
      <c r="P376" t="s">
        <v>33</v>
      </c>
      <c r="Q376" t="s">
        <v>1429</v>
      </c>
      <c r="R376" s="3">
        <v>5</v>
      </c>
      <c r="S376" t="s">
        <v>32</v>
      </c>
      <c r="T376" s="1">
        <v>45397.741469907407</v>
      </c>
      <c r="U376" s="1">
        <v>45441.489756944444</v>
      </c>
      <c r="V376" s="2" t="s">
        <v>1430</v>
      </c>
    </row>
    <row r="377" spans="1:22" hidden="1" x14ac:dyDescent="0.45">
      <c r="A377" t="s">
        <v>1285</v>
      </c>
      <c r="B377" t="s">
        <v>22</v>
      </c>
      <c r="C377" t="s">
        <v>1431</v>
      </c>
      <c r="D377" t="s">
        <v>1432</v>
      </c>
      <c r="F377" t="s">
        <v>71</v>
      </c>
      <c r="G377" t="s">
        <v>26</v>
      </c>
      <c r="H377" t="s">
        <v>27</v>
      </c>
      <c r="I377" t="s">
        <v>28</v>
      </c>
      <c r="J377" t="s">
        <v>29</v>
      </c>
      <c r="K377" t="s">
        <v>30</v>
      </c>
      <c r="L377" t="s">
        <v>31</v>
      </c>
      <c r="M377" t="s">
        <v>32</v>
      </c>
      <c r="N377" t="s">
        <v>32</v>
      </c>
      <c r="O377" t="s">
        <v>32</v>
      </c>
      <c r="P377" t="s">
        <v>33</v>
      </c>
      <c r="Q377" t="s">
        <v>1433</v>
      </c>
      <c r="R377" s="3">
        <v>15</v>
      </c>
      <c r="S377" t="s">
        <v>32</v>
      </c>
      <c r="T377" s="1">
        <v>45397.741469907407</v>
      </c>
      <c r="U377" s="1">
        <v>45441.490752314814</v>
      </c>
      <c r="V377" s="2" t="s">
        <v>1434</v>
      </c>
    </row>
    <row r="378" spans="1:22" hidden="1" x14ac:dyDescent="0.45">
      <c r="A378" t="s">
        <v>1285</v>
      </c>
      <c r="B378" t="s">
        <v>22</v>
      </c>
      <c r="C378" t="s">
        <v>1435</v>
      </c>
      <c r="D378" t="s">
        <v>1436</v>
      </c>
      <c r="F378" t="s">
        <v>85</v>
      </c>
      <c r="G378" t="s">
        <v>26</v>
      </c>
      <c r="H378" t="s">
        <v>27</v>
      </c>
      <c r="I378" t="s">
        <v>28</v>
      </c>
      <c r="J378" t="s">
        <v>29</v>
      </c>
      <c r="K378" t="s">
        <v>30</v>
      </c>
      <c r="L378" t="s">
        <v>31</v>
      </c>
      <c r="M378" t="s">
        <v>32</v>
      </c>
      <c r="N378" t="s">
        <v>32</v>
      </c>
      <c r="O378" t="s">
        <v>32</v>
      </c>
      <c r="P378" t="s">
        <v>33</v>
      </c>
      <c r="Q378" t="s">
        <v>1437</v>
      </c>
      <c r="R378" s="3" t="s">
        <v>32</v>
      </c>
      <c r="S378" t="s">
        <v>32</v>
      </c>
      <c r="T378" s="1">
        <v>45397.741469907407</v>
      </c>
      <c r="U378" s="1">
        <v>45426.52988425926</v>
      </c>
      <c r="V378" s="2" t="s">
        <v>1438</v>
      </c>
    </row>
    <row r="379" spans="1:22" hidden="1" x14ac:dyDescent="0.45">
      <c r="A379" t="s">
        <v>1285</v>
      </c>
      <c r="B379" t="s">
        <v>22</v>
      </c>
      <c r="C379" t="s">
        <v>1439</v>
      </c>
      <c r="D379" t="s">
        <v>1440</v>
      </c>
      <c r="F379" t="s">
        <v>71</v>
      </c>
      <c r="G379" t="s">
        <v>26</v>
      </c>
      <c r="H379" t="s">
        <v>27</v>
      </c>
      <c r="I379" t="s">
        <v>28</v>
      </c>
      <c r="J379" t="s">
        <v>29</v>
      </c>
      <c r="K379" t="s">
        <v>30</v>
      </c>
      <c r="L379" t="s">
        <v>31</v>
      </c>
      <c r="M379" t="s">
        <v>32</v>
      </c>
      <c r="N379" t="s">
        <v>32</v>
      </c>
      <c r="O379" t="s">
        <v>32</v>
      </c>
      <c r="P379" t="s">
        <v>33</v>
      </c>
      <c r="Q379" t="s">
        <v>1441</v>
      </c>
      <c r="R379" s="3" t="s">
        <v>32</v>
      </c>
      <c r="S379" t="s">
        <v>32</v>
      </c>
      <c r="T379" s="1">
        <v>45397.741469907407</v>
      </c>
      <c r="U379" s="1">
        <v>45426.532013888886</v>
      </c>
      <c r="V379" s="2" t="s">
        <v>1442</v>
      </c>
    </row>
    <row r="380" spans="1:22" hidden="1" x14ac:dyDescent="0.45">
      <c r="A380" t="s">
        <v>1285</v>
      </c>
      <c r="B380" t="s">
        <v>22</v>
      </c>
      <c r="C380" t="s">
        <v>1443</v>
      </c>
      <c r="D380" t="s">
        <v>1444</v>
      </c>
      <c r="F380" t="s">
        <v>25</v>
      </c>
      <c r="G380" t="s">
        <v>26</v>
      </c>
      <c r="H380" t="s">
        <v>27</v>
      </c>
      <c r="I380" t="s">
        <v>28</v>
      </c>
      <c r="J380" t="s">
        <v>29</v>
      </c>
      <c r="K380" t="s">
        <v>30</v>
      </c>
      <c r="L380" t="s">
        <v>31</v>
      </c>
      <c r="M380" t="s">
        <v>32</v>
      </c>
      <c r="N380" t="s">
        <v>32</v>
      </c>
      <c r="O380" t="s">
        <v>32</v>
      </c>
      <c r="P380" t="s">
        <v>33</v>
      </c>
      <c r="Q380" t="s">
        <v>1445</v>
      </c>
      <c r="R380" s="3">
        <v>20</v>
      </c>
      <c r="S380" t="s">
        <v>32</v>
      </c>
      <c r="T380" s="1">
        <v>45397.741469907407</v>
      </c>
      <c r="U380" s="1">
        <v>45483.629699074074</v>
      </c>
      <c r="V380" s="2" t="s">
        <v>1446</v>
      </c>
    </row>
    <row r="381" spans="1:22" hidden="1" x14ac:dyDescent="0.45">
      <c r="A381" t="s">
        <v>1285</v>
      </c>
      <c r="B381" t="s">
        <v>22</v>
      </c>
      <c r="C381" t="s">
        <v>1447</v>
      </c>
      <c r="D381" t="s">
        <v>1448</v>
      </c>
      <c r="F381" t="s">
        <v>71</v>
      </c>
      <c r="G381" t="s">
        <v>26</v>
      </c>
      <c r="H381" t="s">
        <v>27</v>
      </c>
      <c r="I381" t="s">
        <v>28</v>
      </c>
      <c r="J381" t="s">
        <v>29</v>
      </c>
      <c r="K381" t="s">
        <v>30</v>
      </c>
      <c r="L381" t="s">
        <v>31</v>
      </c>
      <c r="M381" t="s">
        <v>32</v>
      </c>
      <c r="N381" t="s">
        <v>32</v>
      </c>
      <c r="O381" t="s">
        <v>32</v>
      </c>
      <c r="P381" t="s">
        <v>33</v>
      </c>
      <c r="Q381" t="s">
        <v>1449</v>
      </c>
      <c r="R381" s="3" t="s">
        <v>32</v>
      </c>
      <c r="S381" t="s">
        <v>32</v>
      </c>
      <c r="T381" s="1">
        <v>45397.741469907407</v>
      </c>
      <c r="U381" s="1">
        <v>45426.532939814817</v>
      </c>
      <c r="V381" s="2" t="s">
        <v>1450</v>
      </c>
    </row>
    <row r="382" spans="1:22" hidden="1" x14ac:dyDescent="0.45">
      <c r="A382" t="s">
        <v>1285</v>
      </c>
      <c r="B382" t="s">
        <v>22</v>
      </c>
      <c r="C382" t="s">
        <v>1451</v>
      </c>
      <c r="D382" t="s">
        <v>1452</v>
      </c>
      <c r="F382" t="s">
        <v>71</v>
      </c>
      <c r="G382" t="s">
        <v>26</v>
      </c>
      <c r="H382" t="s">
        <v>27</v>
      </c>
      <c r="I382" t="s">
        <v>28</v>
      </c>
      <c r="J382" t="s">
        <v>29</v>
      </c>
      <c r="K382" t="s">
        <v>30</v>
      </c>
      <c r="L382" t="s">
        <v>31</v>
      </c>
      <c r="M382" t="s">
        <v>32</v>
      </c>
      <c r="N382" t="s">
        <v>32</v>
      </c>
      <c r="O382" t="s">
        <v>32</v>
      </c>
      <c r="P382" t="s">
        <v>33</v>
      </c>
      <c r="Q382" t="s">
        <v>1453</v>
      </c>
      <c r="R382" s="3" t="s">
        <v>32</v>
      </c>
      <c r="S382" t="s">
        <v>32</v>
      </c>
      <c r="T382" s="1">
        <v>45397.741469907407</v>
      </c>
      <c r="U382" s="1">
        <v>45496.688414351855</v>
      </c>
      <c r="V382" s="2" t="s">
        <v>1454</v>
      </c>
    </row>
    <row r="383" spans="1:22" hidden="1" x14ac:dyDescent="0.45">
      <c r="A383" t="s">
        <v>1285</v>
      </c>
      <c r="B383" t="s">
        <v>22</v>
      </c>
      <c r="C383" t="s">
        <v>1455</v>
      </c>
      <c r="D383" t="s">
        <v>206</v>
      </c>
      <c r="F383" t="s">
        <v>71</v>
      </c>
      <c r="G383" t="s">
        <v>26</v>
      </c>
      <c r="H383" t="s">
        <v>27</v>
      </c>
      <c r="I383" t="s">
        <v>28</v>
      </c>
      <c r="J383" t="s">
        <v>29</v>
      </c>
      <c r="K383" t="s">
        <v>30</v>
      </c>
      <c r="L383" t="s">
        <v>31</v>
      </c>
      <c r="M383" t="s">
        <v>32</v>
      </c>
      <c r="N383" t="s">
        <v>32</v>
      </c>
      <c r="O383" t="s">
        <v>32</v>
      </c>
      <c r="P383" t="s">
        <v>33</v>
      </c>
      <c r="Q383" t="s">
        <v>1456</v>
      </c>
      <c r="R383" s="3" t="s">
        <v>32</v>
      </c>
      <c r="S383" t="s">
        <v>32</v>
      </c>
      <c r="T383" s="1">
        <v>45397.741469907407</v>
      </c>
      <c r="U383" s="1">
        <v>45426.533587962964</v>
      </c>
      <c r="V383" s="2" t="s">
        <v>1457</v>
      </c>
    </row>
    <row r="384" spans="1:22" hidden="1" x14ac:dyDescent="0.45">
      <c r="A384" t="s">
        <v>1285</v>
      </c>
      <c r="B384" t="s">
        <v>22</v>
      </c>
      <c r="C384" t="s">
        <v>1458</v>
      </c>
      <c r="D384" t="s">
        <v>1109</v>
      </c>
      <c r="F384" t="s">
        <v>71</v>
      </c>
      <c r="G384" t="s">
        <v>26</v>
      </c>
      <c r="H384" t="s">
        <v>27</v>
      </c>
      <c r="I384" t="s">
        <v>28</v>
      </c>
      <c r="J384" t="s">
        <v>29</v>
      </c>
      <c r="K384" t="s">
        <v>30</v>
      </c>
      <c r="L384" t="s">
        <v>31</v>
      </c>
      <c r="M384" t="s">
        <v>32</v>
      </c>
      <c r="N384" t="s">
        <v>32</v>
      </c>
      <c r="O384" t="s">
        <v>32</v>
      </c>
      <c r="P384" t="s">
        <v>33</v>
      </c>
      <c r="Q384" t="s">
        <v>1459</v>
      </c>
      <c r="R384" s="3" t="s">
        <v>32</v>
      </c>
      <c r="S384" t="s">
        <v>32</v>
      </c>
      <c r="T384" s="1">
        <v>45397.741469907407</v>
      </c>
      <c r="U384" s="1">
        <v>45426.574537037035</v>
      </c>
      <c r="V384" s="2" t="s">
        <v>1460</v>
      </c>
    </row>
    <row r="385" spans="1:22" hidden="1" x14ac:dyDescent="0.45">
      <c r="A385" t="s">
        <v>1285</v>
      </c>
      <c r="B385" t="s">
        <v>22</v>
      </c>
      <c r="C385" t="s">
        <v>1461</v>
      </c>
      <c r="D385" t="s">
        <v>1462</v>
      </c>
      <c r="F385" t="s">
        <v>71</v>
      </c>
      <c r="G385" t="s">
        <v>26</v>
      </c>
      <c r="H385" t="s">
        <v>27</v>
      </c>
      <c r="I385" t="s">
        <v>28</v>
      </c>
      <c r="J385" t="s">
        <v>29</v>
      </c>
      <c r="K385" t="s">
        <v>30</v>
      </c>
      <c r="L385" t="s">
        <v>31</v>
      </c>
      <c r="M385" t="s">
        <v>32</v>
      </c>
      <c r="N385" t="s">
        <v>32</v>
      </c>
      <c r="O385" t="s">
        <v>32</v>
      </c>
      <c r="P385" t="s">
        <v>33</v>
      </c>
      <c r="Q385" t="s">
        <v>1463</v>
      </c>
      <c r="R385" s="3">
        <v>5</v>
      </c>
      <c r="S385" t="s">
        <v>32</v>
      </c>
      <c r="T385" s="1">
        <v>45397.741469907407</v>
      </c>
      <c r="U385" s="1">
        <v>45483.656840277778</v>
      </c>
      <c r="V385" s="2" t="s">
        <v>1464</v>
      </c>
    </row>
    <row r="386" spans="1:22" hidden="1" x14ac:dyDescent="0.45">
      <c r="A386" t="s">
        <v>1285</v>
      </c>
      <c r="B386" t="s">
        <v>22</v>
      </c>
      <c r="C386" t="s">
        <v>1465</v>
      </c>
      <c r="D386" t="s">
        <v>1466</v>
      </c>
      <c r="F386" t="s">
        <v>71</v>
      </c>
      <c r="G386" t="s">
        <v>26</v>
      </c>
      <c r="H386" t="s">
        <v>27</v>
      </c>
      <c r="I386" t="s">
        <v>28</v>
      </c>
      <c r="J386" t="s">
        <v>29</v>
      </c>
      <c r="K386" t="s">
        <v>30</v>
      </c>
      <c r="L386" t="s">
        <v>31</v>
      </c>
      <c r="M386" t="s">
        <v>32</v>
      </c>
      <c r="N386" t="s">
        <v>32</v>
      </c>
      <c r="O386" t="s">
        <v>32</v>
      </c>
      <c r="P386" t="s">
        <v>33</v>
      </c>
      <c r="Q386" t="s">
        <v>1467</v>
      </c>
      <c r="R386" s="3" t="s">
        <v>32</v>
      </c>
      <c r="S386" t="s">
        <v>32</v>
      </c>
      <c r="T386" s="1">
        <v>45397.741469907407</v>
      </c>
      <c r="U386" s="1">
        <v>45426.575324074074</v>
      </c>
      <c r="V386" s="2" t="s">
        <v>1468</v>
      </c>
    </row>
    <row r="387" spans="1:22" hidden="1" x14ac:dyDescent="0.45">
      <c r="A387" t="s">
        <v>1285</v>
      </c>
      <c r="B387" t="s">
        <v>22</v>
      </c>
      <c r="C387" t="s">
        <v>1469</v>
      </c>
      <c r="D387" t="s">
        <v>1470</v>
      </c>
      <c r="F387" t="s">
        <v>71</v>
      </c>
      <c r="G387" t="s">
        <v>26</v>
      </c>
      <c r="H387" t="s">
        <v>27</v>
      </c>
      <c r="I387" t="s">
        <v>28</v>
      </c>
      <c r="J387" t="s">
        <v>29</v>
      </c>
      <c r="K387" t="s">
        <v>30</v>
      </c>
      <c r="L387" t="s">
        <v>31</v>
      </c>
      <c r="M387" t="s">
        <v>32</v>
      </c>
      <c r="N387" t="s">
        <v>32</v>
      </c>
      <c r="O387" t="s">
        <v>32</v>
      </c>
      <c r="P387" t="s">
        <v>33</v>
      </c>
      <c r="Q387" t="s">
        <v>1471</v>
      </c>
      <c r="R387" s="3">
        <v>15</v>
      </c>
      <c r="S387" t="s">
        <v>32</v>
      </c>
      <c r="T387" s="1">
        <v>45397.741469907407</v>
      </c>
      <c r="U387" s="1">
        <v>45441.491099537037</v>
      </c>
      <c r="V387" s="2" t="s">
        <v>1472</v>
      </c>
    </row>
    <row r="388" spans="1:22" hidden="1" x14ac:dyDescent="0.45">
      <c r="A388" t="s">
        <v>1285</v>
      </c>
      <c r="B388" t="s">
        <v>22</v>
      </c>
      <c r="C388" t="s">
        <v>1473</v>
      </c>
      <c r="D388" t="s">
        <v>1474</v>
      </c>
      <c r="F388" t="s">
        <v>71</v>
      </c>
      <c r="G388" t="s">
        <v>26</v>
      </c>
      <c r="H388" t="s">
        <v>27</v>
      </c>
      <c r="I388" t="s">
        <v>28</v>
      </c>
      <c r="J388" t="s">
        <v>29</v>
      </c>
      <c r="K388" t="s">
        <v>30</v>
      </c>
      <c r="L388" t="s">
        <v>31</v>
      </c>
      <c r="M388" t="s">
        <v>32</v>
      </c>
      <c r="N388" t="s">
        <v>32</v>
      </c>
      <c r="O388" t="s">
        <v>32</v>
      </c>
      <c r="P388" t="s">
        <v>33</v>
      </c>
      <c r="Q388" t="s">
        <v>1475</v>
      </c>
      <c r="R388" s="3" t="s">
        <v>32</v>
      </c>
      <c r="S388" t="s">
        <v>32</v>
      </c>
      <c r="T388" s="1">
        <v>45397.741469907407</v>
      </c>
      <c r="U388" s="1">
        <v>45426.575983796298</v>
      </c>
      <c r="V388" s="2" t="s">
        <v>1476</v>
      </c>
    </row>
    <row r="389" spans="1:22" hidden="1" x14ac:dyDescent="0.45">
      <c r="A389" t="s">
        <v>1285</v>
      </c>
      <c r="B389" t="s">
        <v>22</v>
      </c>
      <c r="C389" t="s">
        <v>1477</v>
      </c>
      <c r="D389" t="s">
        <v>1478</v>
      </c>
      <c r="F389" t="s">
        <v>71</v>
      </c>
      <c r="G389" t="s">
        <v>26</v>
      </c>
      <c r="H389" t="s">
        <v>27</v>
      </c>
      <c r="I389" t="s">
        <v>28</v>
      </c>
      <c r="J389" t="s">
        <v>29</v>
      </c>
      <c r="K389" t="s">
        <v>30</v>
      </c>
      <c r="L389" t="s">
        <v>31</v>
      </c>
      <c r="M389" t="s">
        <v>32</v>
      </c>
      <c r="N389" t="s">
        <v>32</v>
      </c>
      <c r="O389" t="s">
        <v>32</v>
      </c>
      <c r="P389" t="s">
        <v>33</v>
      </c>
      <c r="Q389" t="s">
        <v>1479</v>
      </c>
      <c r="R389" s="3" t="s">
        <v>32</v>
      </c>
      <c r="S389" t="s">
        <v>32</v>
      </c>
      <c r="T389" s="1">
        <v>45397.741469907407</v>
      </c>
      <c r="U389" s="1">
        <v>45426.576678240737</v>
      </c>
      <c r="V389" s="2" t="s">
        <v>1480</v>
      </c>
    </row>
    <row r="390" spans="1:22" hidden="1" x14ac:dyDescent="0.45">
      <c r="A390" t="s">
        <v>1285</v>
      </c>
      <c r="B390" t="s">
        <v>22</v>
      </c>
      <c r="C390" t="s">
        <v>1481</v>
      </c>
      <c r="D390" t="s">
        <v>1482</v>
      </c>
      <c r="F390" t="s">
        <v>71</v>
      </c>
      <c r="G390" t="s">
        <v>26</v>
      </c>
      <c r="H390" t="s">
        <v>27</v>
      </c>
      <c r="I390" t="s">
        <v>28</v>
      </c>
      <c r="J390" t="s">
        <v>29</v>
      </c>
      <c r="K390" t="s">
        <v>30</v>
      </c>
      <c r="L390" t="s">
        <v>31</v>
      </c>
      <c r="M390" t="s">
        <v>32</v>
      </c>
      <c r="N390" t="s">
        <v>32</v>
      </c>
      <c r="O390" t="s">
        <v>32</v>
      </c>
      <c r="P390" t="s">
        <v>33</v>
      </c>
      <c r="Q390" t="s">
        <v>1483</v>
      </c>
      <c r="R390" s="3" t="s">
        <v>32</v>
      </c>
      <c r="S390" t="s">
        <v>32</v>
      </c>
      <c r="T390" s="1">
        <v>45397.741469907407</v>
      </c>
      <c r="U390" s="1">
        <v>45426.576932870368</v>
      </c>
      <c r="V390" s="2" t="s">
        <v>1484</v>
      </c>
    </row>
    <row r="391" spans="1:22" hidden="1" x14ac:dyDescent="0.45">
      <c r="A391" t="s">
        <v>1285</v>
      </c>
      <c r="B391" t="s">
        <v>22</v>
      </c>
      <c r="C391" t="s">
        <v>1485</v>
      </c>
      <c r="D391" t="s">
        <v>1486</v>
      </c>
      <c r="F391" t="s">
        <v>71</v>
      </c>
      <c r="G391" t="s">
        <v>26</v>
      </c>
      <c r="H391" t="s">
        <v>27</v>
      </c>
      <c r="I391" t="s">
        <v>28</v>
      </c>
      <c r="J391" t="s">
        <v>29</v>
      </c>
      <c r="K391" t="s">
        <v>30</v>
      </c>
      <c r="L391" t="s">
        <v>31</v>
      </c>
      <c r="M391" t="s">
        <v>32</v>
      </c>
      <c r="N391" t="s">
        <v>32</v>
      </c>
      <c r="O391" t="s">
        <v>32</v>
      </c>
      <c r="P391" t="s">
        <v>33</v>
      </c>
      <c r="Q391" t="s">
        <v>1487</v>
      </c>
      <c r="R391" s="3">
        <v>5</v>
      </c>
      <c r="S391" t="s">
        <v>32</v>
      </c>
      <c r="T391" s="1">
        <v>45483.527615740742</v>
      </c>
      <c r="U391" s="1">
        <v>45483.535868055558</v>
      </c>
      <c r="V391" s="2" t="s">
        <v>1488</v>
      </c>
    </row>
    <row r="392" spans="1:22" hidden="1" x14ac:dyDescent="0.45">
      <c r="A392" t="s">
        <v>1285</v>
      </c>
      <c r="B392" t="s">
        <v>213</v>
      </c>
      <c r="C392" t="s">
        <v>1489</v>
      </c>
      <c r="D392" t="s">
        <v>538</v>
      </c>
      <c r="F392" t="s">
        <v>326</v>
      </c>
      <c r="G392" t="s">
        <v>26</v>
      </c>
      <c r="H392" t="s">
        <v>27</v>
      </c>
      <c r="I392" t="s">
        <v>28</v>
      </c>
      <c r="J392" t="s">
        <v>216</v>
      </c>
      <c r="K392" t="s">
        <v>30</v>
      </c>
      <c r="L392" t="s">
        <v>31</v>
      </c>
      <c r="M392" t="s">
        <v>32</v>
      </c>
      <c r="N392" t="s">
        <v>32</v>
      </c>
      <c r="O392" t="s">
        <v>32</v>
      </c>
      <c r="P392" t="s">
        <v>33</v>
      </c>
      <c r="Q392" t="s">
        <v>1490</v>
      </c>
      <c r="R392" s="3">
        <v>10</v>
      </c>
      <c r="S392" t="s">
        <v>32</v>
      </c>
      <c r="T392" s="1">
        <v>45397.74145833333</v>
      </c>
      <c r="U392" s="1">
        <v>45428.732083333336</v>
      </c>
      <c r="V392" s="2" t="s">
        <v>1491</v>
      </c>
    </row>
    <row r="393" spans="1:22" hidden="1" x14ac:dyDescent="0.45">
      <c r="A393" t="s">
        <v>1285</v>
      </c>
      <c r="B393" t="s">
        <v>213</v>
      </c>
      <c r="C393" t="s">
        <v>1492</v>
      </c>
      <c r="D393" t="s">
        <v>228</v>
      </c>
      <c r="F393" t="s">
        <v>25</v>
      </c>
      <c r="G393" t="s">
        <v>26</v>
      </c>
      <c r="H393" t="s">
        <v>27</v>
      </c>
      <c r="I393" t="s">
        <v>28</v>
      </c>
      <c r="J393" t="s">
        <v>216</v>
      </c>
      <c r="K393" t="s">
        <v>30</v>
      </c>
      <c r="L393" t="s">
        <v>31</v>
      </c>
      <c r="M393" t="s">
        <v>32</v>
      </c>
      <c r="N393" t="s">
        <v>32</v>
      </c>
      <c r="O393" t="s">
        <v>32</v>
      </c>
      <c r="P393" t="s">
        <v>33</v>
      </c>
      <c r="Q393" t="s">
        <v>1493</v>
      </c>
      <c r="R393" s="3">
        <v>5</v>
      </c>
      <c r="S393" t="s">
        <v>32</v>
      </c>
      <c r="T393" s="1">
        <v>45397.74145833333</v>
      </c>
      <c r="U393" s="1">
        <v>45441.487141203703</v>
      </c>
      <c r="V393" s="2" t="s">
        <v>1494</v>
      </c>
    </row>
    <row r="394" spans="1:22" hidden="1" x14ac:dyDescent="0.45">
      <c r="A394" t="s">
        <v>1285</v>
      </c>
      <c r="B394" t="s">
        <v>213</v>
      </c>
      <c r="C394" t="s">
        <v>1495</v>
      </c>
      <c r="D394" t="s">
        <v>545</v>
      </c>
      <c r="F394" t="s">
        <v>76</v>
      </c>
      <c r="G394" t="s">
        <v>26</v>
      </c>
      <c r="H394" t="s">
        <v>27</v>
      </c>
      <c r="I394" t="s">
        <v>28</v>
      </c>
      <c r="J394" t="s">
        <v>216</v>
      </c>
      <c r="K394" t="s">
        <v>30</v>
      </c>
      <c r="L394" t="s">
        <v>31</v>
      </c>
      <c r="M394" t="s">
        <v>32</v>
      </c>
      <c r="N394" t="s">
        <v>32</v>
      </c>
      <c r="O394" t="s">
        <v>32</v>
      </c>
      <c r="P394" t="s">
        <v>33</v>
      </c>
      <c r="Q394" t="s">
        <v>1496</v>
      </c>
      <c r="R394" s="3">
        <v>5</v>
      </c>
      <c r="S394" t="s">
        <v>32</v>
      </c>
      <c r="T394" s="1">
        <v>45397.74145833333</v>
      </c>
      <c r="U394" s="1">
        <v>45428.732349537036</v>
      </c>
      <c r="V394" s="2" t="s">
        <v>1497</v>
      </c>
    </row>
    <row r="395" spans="1:22" hidden="1" x14ac:dyDescent="0.45">
      <c r="A395" t="s">
        <v>1285</v>
      </c>
      <c r="B395" t="s">
        <v>59</v>
      </c>
      <c r="C395" t="s">
        <v>1498</v>
      </c>
      <c r="D395" t="s">
        <v>232</v>
      </c>
      <c r="F395" t="s">
        <v>233</v>
      </c>
      <c r="G395" t="s">
        <v>26</v>
      </c>
      <c r="H395" t="s">
        <v>62</v>
      </c>
      <c r="I395" t="s">
        <v>28</v>
      </c>
      <c r="J395" t="s">
        <v>32</v>
      </c>
      <c r="K395" t="s">
        <v>63</v>
      </c>
      <c r="L395" t="s">
        <v>64</v>
      </c>
      <c r="M395" t="s">
        <v>32</v>
      </c>
      <c r="N395" t="s">
        <v>32</v>
      </c>
      <c r="O395" t="s">
        <v>32</v>
      </c>
      <c r="P395" t="s">
        <v>32</v>
      </c>
      <c r="Q395" t="s">
        <v>1499</v>
      </c>
      <c r="R395" s="3" t="s">
        <v>32</v>
      </c>
      <c r="S395" t="s">
        <v>32</v>
      </c>
      <c r="T395" s="1">
        <v>45397.74145833333</v>
      </c>
      <c r="U395" s="1">
        <v>45426.59302083333</v>
      </c>
      <c r="V395" s="2" t="s">
        <v>1500</v>
      </c>
    </row>
    <row r="396" spans="1:22" hidden="1" x14ac:dyDescent="0.45">
      <c r="A396" t="s">
        <v>1285</v>
      </c>
      <c r="B396" t="s">
        <v>59</v>
      </c>
      <c r="C396" t="s">
        <v>1501</v>
      </c>
      <c r="D396" t="s">
        <v>251</v>
      </c>
      <c r="F396" t="s">
        <v>85</v>
      </c>
      <c r="G396" t="s">
        <v>26</v>
      </c>
      <c r="H396" t="s">
        <v>62</v>
      </c>
      <c r="I396" t="s">
        <v>28</v>
      </c>
      <c r="J396" t="s">
        <v>32</v>
      </c>
      <c r="K396" t="s">
        <v>63</v>
      </c>
      <c r="L396" t="s">
        <v>64</v>
      </c>
      <c r="M396" t="s">
        <v>32</v>
      </c>
      <c r="N396" t="s">
        <v>32</v>
      </c>
      <c r="O396" t="s">
        <v>32</v>
      </c>
      <c r="P396" t="s">
        <v>32</v>
      </c>
      <c r="Q396" t="s">
        <v>1502</v>
      </c>
      <c r="R396" s="3" t="s">
        <v>32</v>
      </c>
      <c r="S396" t="s">
        <v>32</v>
      </c>
      <c r="T396" s="1">
        <v>45397.74145833333</v>
      </c>
      <c r="U396" s="1">
        <v>45426.593298611115</v>
      </c>
      <c r="V396" s="2" t="s">
        <v>1503</v>
      </c>
    </row>
    <row r="397" spans="1:22" hidden="1" x14ac:dyDescent="0.45">
      <c r="A397" t="s">
        <v>1285</v>
      </c>
      <c r="B397" t="s">
        <v>59</v>
      </c>
      <c r="C397" t="s">
        <v>1504</v>
      </c>
      <c r="D397" t="s">
        <v>1505</v>
      </c>
      <c r="F397" t="s">
        <v>85</v>
      </c>
      <c r="G397" t="s">
        <v>26</v>
      </c>
      <c r="H397" t="s">
        <v>62</v>
      </c>
      <c r="I397" t="s">
        <v>28</v>
      </c>
      <c r="J397" t="s">
        <v>32</v>
      </c>
      <c r="K397" t="s">
        <v>63</v>
      </c>
      <c r="L397" t="s">
        <v>64</v>
      </c>
      <c r="M397" t="s">
        <v>32</v>
      </c>
      <c r="N397" t="s">
        <v>32</v>
      </c>
      <c r="O397" t="s">
        <v>32</v>
      </c>
      <c r="P397" t="s">
        <v>32</v>
      </c>
      <c r="Q397" t="s">
        <v>1506</v>
      </c>
      <c r="R397" s="3" t="s">
        <v>32</v>
      </c>
      <c r="S397" t="s">
        <v>32</v>
      </c>
      <c r="T397" s="1">
        <v>45397.741469907407</v>
      </c>
      <c r="U397" s="1">
        <v>45496.708761574075</v>
      </c>
      <c r="V397" s="2" t="s">
        <v>1507</v>
      </c>
    </row>
    <row r="398" spans="1:22" hidden="1" x14ac:dyDescent="0.45">
      <c r="A398" t="s">
        <v>1285</v>
      </c>
      <c r="B398" t="s">
        <v>59</v>
      </c>
      <c r="C398" t="s">
        <v>1508</v>
      </c>
      <c r="D398" t="s">
        <v>1509</v>
      </c>
      <c r="F398" t="s">
        <v>85</v>
      </c>
      <c r="G398" t="s">
        <v>26</v>
      </c>
      <c r="H398" t="s">
        <v>62</v>
      </c>
      <c r="I398" t="s">
        <v>28</v>
      </c>
      <c r="J398" t="s">
        <v>32</v>
      </c>
      <c r="K398" t="s">
        <v>63</v>
      </c>
      <c r="L398" t="s">
        <v>64</v>
      </c>
      <c r="M398" t="s">
        <v>32</v>
      </c>
      <c r="N398" t="s">
        <v>32</v>
      </c>
      <c r="O398" t="s">
        <v>32</v>
      </c>
      <c r="P398" t="s">
        <v>32</v>
      </c>
      <c r="Q398" t="s">
        <v>1510</v>
      </c>
      <c r="R398" s="3" t="s">
        <v>32</v>
      </c>
      <c r="S398" t="s">
        <v>32</v>
      </c>
      <c r="T398" s="1">
        <v>45397.741469907407</v>
      </c>
      <c r="U398" s="1">
        <v>45426.594710648147</v>
      </c>
      <c r="V398" s="2" t="s">
        <v>1511</v>
      </c>
    </row>
    <row r="399" spans="1:22" hidden="1" x14ac:dyDescent="0.45">
      <c r="A399" t="s">
        <v>1285</v>
      </c>
      <c r="B399" t="s">
        <v>59</v>
      </c>
      <c r="C399" t="s">
        <v>1512</v>
      </c>
      <c r="D399" t="s">
        <v>567</v>
      </c>
      <c r="F399" t="s">
        <v>85</v>
      </c>
      <c r="G399" t="s">
        <v>26</v>
      </c>
      <c r="H399" t="s">
        <v>62</v>
      </c>
      <c r="I399" t="s">
        <v>28</v>
      </c>
      <c r="J399" t="s">
        <v>32</v>
      </c>
      <c r="K399" t="s">
        <v>63</v>
      </c>
      <c r="L399" t="s">
        <v>64</v>
      </c>
      <c r="M399" t="s">
        <v>32</v>
      </c>
      <c r="N399" t="s">
        <v>32</v>
      </c>
      <c r="O399" t="s">
        <v>32</v>
      </c>
      <c r="P399" t="s">
        <v>32</v>
      </c>
      <c r="Q399" t="s">
        <v>1513</v>
      </c>
      <c r="R399" s="3" t="s">
        <v>32</v>
      </c>
      <c r="S399" t="s">
        <v>32</v>
      </c>
      <c r="T399" s="1">
        <v>45397.741469907407</v>
      </c>
      <c r="U399" s="1">
        <v>45426.596678240741</v>
      </c>
      <c r="V399" s="2" t="s">
        <v>1514</v>
      </c>
    </row>
    <row r="400" spans="1:22" hidden="1" x14ac:dyDescent="0.45">
      <c r="A400" t="s">
        <v>1285</v>
      </c>
      <c r="B400" t="s">
        <v>277</v>
      </c>
      <c r="C400" t="s">
        <v>1515</v>
      </c>
      <c r="D400" t="s">
        <v>279</v>
      </c>
      <c r="F400" t="s">
        <v>85</v>
      </c>
      <c r="G400" t="s">
        <v>26</v>
      </c>
      <c r="H400" t="s">
        <v>280</v>
      </c>
      <c r="I400" t="s">
        <v>281</v>
      </c>
      <c r="J400" t="s">
        <v>32</v>
      </c>
      <c r="K400" t="s">
        <v>63</v>
      </c>
      <c r="L400" t="s">
        <v>32</v>
      </c>
      <c r="M400" t="s">
        <v>32</v>
      </c>
      <c r="N400" t="s">
        <v>32</v>
      </c>
      <c r="O400" t="s">
        <v>32</v>
      </c>
      <c r="P400" t="s">
        <v>32</v>
      </c>
      <c r="Q400" t="s">
        <v>1516</v>
      </c>
      <c r="R400" s="3" t="s">
        <v>32</v>
      </c>
      <c r="S400" t="s">
        <v>32</v>
      </c>
      <c r="T400" s="1">
        <v>45397.74145833333</v>
      </c>
      <c r="U400" s="1">
        <v>45426.599224537036</v>
      </c>
      <c r="V400" s="2" t="s">
        <v>1517</v>
      </c>
    </row>
    <row r="401" spans="1:22" hidden="1" x14ac:dyDescent="0.45">
      <c r="A401" t="s">
        <v>1285</v>
      </c>
      <c r="B401" t="s">
        <v>593</v>
      </c>
      <c r="C401" t="s">
        <v>1518</v>
      </c>
      <c r="D401" t="s">
        <v>1519</v>
      </c>
      <c r="F401" t="s">
        <v>85</v>
      </c>
      <c r="G401" t="s">
        <v>26</v>
      </c>
      <c r="H401" t="s">
        <v>280</v>
      </c>
      <c r="I401" t="s">
        <v>281</v>
      </c>
      <c r="J401" t="s">
        <v>32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1520</v>
      </c>
      <c r="R401" s="3" t="s">
        <v>32</v>
      </c>
      <c r="S401" t="s">
        <v>32</v>
      </c>
      <c r="T401" s="1">
        <v>45397.74145833333</v>
      </c>
      <c r="U401" s="1">
        <v>45426.599965277775</v>
      </c>
      <c r="V401" s="2" t="s">
        <v>1521</v>
      </c>
    </row>
    <row r="402" spans="1:22" hidden="1" x14ac:dyDescent="0.45">
      <c r="A402" t="s">
        <v>1285</v>
      </c>
      <c r="B402" t="s">
        <v>284</v>
      </c>
      <c r="C402" t="s">
        <v>1522</v>
      </c>
      <c r="D402" t="s">
        <v>286</v>
      </c>
      <c r="F402" t="s">
        <v>85</v>
      </c>
      <c r="G402" t="s">
        <v>188</v>
      </c>
      <c r="H402" t="s">
        <v>189</v>
      </c>
      <c r="I402" t="s">
        <v>287</v>
      </c>
      <c r="J402" t="s">
        <v>32</v>
      </c>
      <c r="K402" t="s">
        <v>63</v>
      </c>
      <c r="L402" t="s">
        <v>288</v>
      </c>
      <c r="M402" t="s">
        <v>32</v>
      </c>
      <c r="N402" t="s">
        <v>289</v>
      </c>
      <c r="O402" t="s">
        <v>290</v>
      </c>
      <c r="P402" t="s">
        <v>32</v>
      </c>
      <c r="Q402" t="s">
        <v>1523</v>
      </c>
      <c r="R402" s="3" t="s">
        <v>32</v>
      </c>
      <c r="S402" t="s">
        <v>32</v>
      </c>
      <c r="T402" s="1">
        <v>45397.750474537039</v>
      </c>
      <c r="U402" s="1">
        <v>45397.750474537039</v>
      </c>
      <c r="V402" s="2" t="s">
        <v>1524</v>
      </c>
    </row>
    <row r="403" spans="1:22" hidden="1" x14ac:dyDescent="0.45">
      <c r="A403" t="s">
        <v>1285</v>
      </c>
      <c r="B403" t="s">
        <v>284</v>
      </c>
      <c r="C403" t="s">
        <v>1525</v>
      </c>
      <c r="D403" t="s">
        <v>602</v>
      </c>
      <c r="F403" t="s">
        <v>85</v>
      </c>
      <c r="G403" t="s">
        <v>188</v>
      </c>
      <c r="H403" t="s">
        <v>189</v>
      </c>
      <c r="I403" t="s">
        <v>287</v>
      </c>
      <c r="J403" t="s">
        <v>32</v>
      </c>
      <c r="K403" t="s">
        <v>63</v>
      </c>
      <c r="L403" t="s">
        <v>288</v>
      </c>
      <c r="M403" t="s">
        <v>32</v>
      </c>
      <c r="N403" t="s">
        <v>289</v>
      </c>
      <c r="O403" t="s">
        <v>290</v>
      </c>
      <c r="P403" t="s">
        <v>32</v>
      </c>
      <c r="Q403" t="s">
        <v>1526</v>
      </c>
      <c r="R403" s="3" t="s">
        <v>32</v>
      </c>
      <c r="S403" t="s">
        <v>32</v>
      </c>
      <c r="T403" s="1">
        <v>45397.751527777778</v>
      </c>
      <c r="U403" s="1">
        <v>45397.751527777778</v>
      </c>
      <c r="V403" s="2" t="s">
        <v>1527</v>
      </c>
    </row>
    <row r="404" spans="1:22" hidden="1" x14ac:dyDescent="0.45">
      <c r="A404" t="s">
        <v>1285</v>
      </c>
      <c r="B404" t="s">
        <v>293</v>
      </c>
      <c r="C404" t="s">
        <v>1528</v>
      </c>
      <c r="D404" t="s">
        <v>295</v>
      </c>
      <c r="F404" t="s">
        <v>85</v>
      </c>
      <c r="G404" t="s">
        <v>26</v>
      </c>
      <c r="H404" t="s">
        <v>280</v>
      </c>
      <c r="I404" t="s">
        <v>281</v>
      </c>
      <c r="J404" t="s">
        <v>32</v>
      </c>
      <c r="K404" t="s">
        <v>63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1529</v>
      </c>
      <c r="R404" s="3" t="s">
        <v>32</v>
      </c>
      <c r="S404" t="s">
        <v>32</v>
      </c>
      <c r="T404" s="1">
        <v>45397.74145833333</v>
      </c>
      <c r="U404" s="1">
        <v>45426.601446759261</v>
      </c>
      <c r="V404" s="2" t="s">
        <v>1530</v>
      </c>
    </row>
    <row r="405" spans="1:22" hidden="1" x14ac:dyDescent="0.45">
      <c r="A405" t="s">
        <v>1285</v>
      </c>
      <c r="B405" t="s">
        <v>298</v>
      </c>
      <c r="C405" t="s">
        <v>1531</v>
      </c>
      <c r="D405" t="s">
        <v>306</v>
      </c>
      <c r="F405" t="s">
        <v>85</v>
      </c>
      <c r="G405" t="s">
        <v>32</v>
      </c>
      <c r="H405" t="s">
        <v>32</v>
      </c>
      <c r="I405" t="s">
        <v>32</v>
      </c>
      <c r="J405" t="s">
        <v>32</v>
      </c>
      <c r="K405" t="s">
        <v>32</v>
      </c>
      <c r="L405" t="s">
        <v>302</v>
      </c>
      <c r="M405" t="s">
        <v>32</v>
      </c>
      <c r="N405" t="s">
        <v>32</v>
      </c>
      <c r="O405" t="s">
        <v>32</v>
      </c>
      <c r="P405" t="s">
        <v>32</v>
      </c>
      <c r="Q405" t="s">
        <v>1532</v>
      </c>
      <c r="R405" s="3" t="s">
        <v>32</v>
      </c>
      <c r="S405" t="s">
        <v>32</v>
      </c>
      <c r="T405" s="1">
        <v>45397.74145833333</v>
      </c>
      <c r="U405" s="1">
        <v>45397.74145833333</v>
      </c>
      <c r="V405" s="2" t="s">
        <v>1533</v>
      </c>
    </row>
    <row r="406" spans="1:22" hidden="1" x14ac:dyDescent="0.45">
      <c r="A406" t="s">
        <v>1285</v>
      </c>
      <c r="B406" t="s">
        <v>298</v>
      </c>
      <c r="C406" t="s">
        <v>1534</v>
      </c>
      <c r="D406" t="s">
        <v>1535</v>
      </c>
      <c r="F406" t="s">
        <v>71</v>
      </c>
      <c r="G406" t="s">
        <v>32</v>
      </c>
      <c r="H406" t="s">
        <v>32</v>
      </c>
      <c r="I406" t="s">
        <v>32</v>
      </c>
      <c r="J406" t="s">
        <v>32</v>
      </c>
      <c r="K406" t="s">
        <v>32</v>
      </c>
      <c r="L406" t="s">
        <v>302</v>
      </c>
      <c r="M406" t="s">
        <v>32</v>
      </c>
      <c r="N406" t="s">
        <v>32</v>
      </c>
      <c r="O406" t="s">
        <v>32</v>
      </c>
      <c r="P406" t="s">
        <v>32</v>
      </c>
      <c r="Q406" t="s">
        <v>1536</v>
      </c>
      <c r="R406" s="3" t="s">
        <v>32</v>
      </c>
      <c r="S406" t="s">
        <v>32</v>
      </c>
      <c r="T406" s="1">
        <v>45397.741469907407</v>
      </c>
      <c r="U406" s="1">
        <v>45397.741469907407</v>
      </c>
      <c r="V406" s="2" t="s">
        <v>1537</v>
      </c>
    </row>
    <row r="407" spans="1:22" hidden="1" x14ac:dyDescent="0.45">
      <c r="A407" t="s">
        <v>1285</v>
      </c>
      <c r="B407" t="s">
        <v>1538</v>
      </c>
      <c r="C407" t="s">
        <v>1539</v>
      </c>
      <c r="D407" t="s">
        <v>1540</v>
      </c>
      <c r="F407" t="s">
        <v>85</v>
      </c>
      <c r="G407" t="s">
        <v>32</v>
      </c>
      <c r="H407" t="s">
        <v>32</v>
      </c>
      <c r="I407" t="s">
        <v>32</v>
      </c>
      <c r="J407" t="s">
        <v>32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1541</v>
      </c>
      <c r="R407" s="3" t="s">
        <v>32</v>
      </c>
      <c r="S407" t="s">
        <v>32</v>
      </c>
      <c r="T407" s="1">
        <v>45397.752500000002</v>
      </c>
      <c r="U407" s="1">
        <v>45398.411932870367</v>
      </c>
      <c r="V407" s="2" t="s">
        <v>1542</v>
      </c>
    </row>
    <row r="408" spans="1:22" hidden="1" x14ac:dyDescent="0.45">
      <c r="A408" t="s">
        <v>1285</v>
      </c>
      <c r="B408" t="s">
        <v>309</v>
      </c>
      <c r="C408" t="s">
        <v>1543</v>
      </c>
      <c r="D408" t="s">
        <v>642</v>
      </c>
      <c r="F408" t="s">
        <v>85</v>
      </c>
      <c r="G408" t="s">
        <v>188</v>
      </c>
      <c r="H408" t="s">
        <v>312</v>
      </c>
      <c r="I408" t="s">
        <v>313</v>
      </c>
      <c r="J408" t="s">
        <v>32</v>
      </c>
      <c r="K408" t="s">
        <v>32</v>
      </c>
      <c r="L408" t="s">
        <v>32</v>
      </c>
      <c r="M408" t="s">
        <v>32</v>
      </c>
      <c r="N408" t="s">
        <v>32</v>
      </c>
      <c r="O408" t="s">
        <v>32</v>
      </c>
      <c r="P408" t="s">
        <v>32</v>
      </c>
      <c r="Q408" t="s">
        <v>1544</v>
      </c>
      <c r="R408" s="3" t="s">
        <v>32</v>
      </c>
      <c r="S408" t="s">
        <v>32</v>
      </c>
      <c r="T408" s="1">
        <v>45397.74145833333</v>
      </c>
      <c r="U408" s="1">
        <v>45426.60465277778</v>
      </c>
      <c r="V408" s="2" t="s">
        <v>1545</v>
      </c>
    </row>
    <row r="409" spans="1:22" hidden="1" x14ac:dyDescent="0.45">
      <c r="A409" t="s">
        <v>1285</v>
      </c>
      <c r="B409" t="s">
        <v>309</v>
      </c>
      <c r="C409" t="s">
        <v>1546</v>
      </c>
      <c r="D409" t="s">
        <v>646</v>
      </c>
      <c r="F409" t="s">
        <v>85</v>
      </c>
      <c r="G409" t="s">
        <v>188</v>
      </c>
      <c r="H409" t="s">
        <v>312</v>
      </c>
      <c r="I409" t="s">
        <v>313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1547</v>
      </c>
      <c r="R409" s="3" t="s">
        <v>32</v>
      </c>
      <c r="S409" t="s">
        <v>32</v>
      </c>
      <c r="T409" s="1">
        <v>45397.74145833333</v>
      </c>
      <c r="U409" s="1">
        <v>45426.605254629627</v>
      </c>
      <c r="V409" s="2" t="s">
        <v>1548</v>
      </c>
    </row>
    <row r="410" spans="1:22" hidden="1" x14ac:dyDescent="0.45">
      <c r="A410" t="s">
        <v>1285</v>
      </c>
      <c r="B410" t="s">
        <v>340</v>
      </c>
      <c r="C410" t="s">
        <v>1549</v>
      </c>
      <c r="D410" t="s">
        <v>340</v>
      </c>
      <c r="F410" t="s">
        <v>85</v>
      </c>
      <c r="G410" t="s">
        <v>26</v>
      </c>
      <c r="H410" t="s">
        <v>62</v>
      </c>
      <c r="I410" t="s">
        <v>342</v>
      </c>
      <c r="J410" t="s">
        <v>32</v>
      </c>
      <c r="K410" t="s">
        <v>32</v>
      </c>
      <c r="L410" t="s">
        <v>32</v>
      </c>
      <c r="M410" t="s">
        <v>32</v>
      </c>
      <c r="N410" t="s">
        <v>32</v>
      </c>
      <c r="O410" t="s">
        <v>32</v>
      </c>
      <c r="P410" t="s">
        <v>32</v>
      </c>
      <c r="Q410" t="s">
        <v>1550</v>
      </c>
      <c r="R410" s="3" t="s">
        <v>32</v>
      </c>
      <c r="S410" t="s">
        <v>32</v>
      </c>
      <c r="T410" s="1">
        <v>45397.74145833333</v>
      </c>
      <c r="U410" s="1">
        <v>45426.605532407404</v>
      </c>
      <c r="V410" s="2" t="s">
        <v>1551</v>
      </c>
    </row>
    <row r="411" spans="1:22" hidden="1" x14ac:dyDescent="0.45">
      <c r="A411" t="s">
        <v>1285</v>
      </c>
      <c r="B411" t="s">
        <v>345</v>
      </c>
      <c r="C411" t="s">
        <v>1552</v>
      </c>
      <c r="D411" t="s">
        <v>347</v>
      </c>
      <c r="F411" t="s">
        <v>85</v>
      </c>
      <c r="G411" t="s">
        <v>26</v>
      </c>
      <c r="H411" t="s">
        <v>27</v>
      </c>
      <c r="I411" t="s">
        <v>28</v>
      </c>
      <c r="J411" t="s">
        <v>336</v>
      </c>
      <c r="K411" t="s">
        <v>337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1553</v>
      </c>
      <c r="R411" s="3" t="s">
        <v>32</v>
      </c>
      <c r="S411" t="s">
        <v>32</v>
      </c>
      <c r="T411" s="1">
        <v>45397.747766203705</v>
      </c>
      <c r="U411" s="1">
        <v>45426.606921296298</v>
      </c>
      <c r="V411" s="2" t="s">
        <v>1554</v>
      </c>
    </row>
    <row r="412" spans="1:22" hidden="1" x14ac:dyDescent="0.45">
      <c r="A412" t="s">
        <v>1285</v>
      </c>
      <c r="B412" t="s">
        <v>350</v>
      </c>
      <c r="C412" t="s">
        <v>1555</v>
      </c>
      <c r="D412" t="s">
        <v>352</v>
      </c>
      <c r="F412" t="s">
        <v>85</v>
      </c>
      <c r="G412" t="s">
        <v>26</v>
      </c>
      <c r="H412" t="s">
        <v>27</v>
      </c>
      <c r="I412" t="s">
        <v>28</v>
      </c>
      <c r="J412" t="s">
        <v>32</v>
      </c>
      <c r="K412" t="s">
        <v>63</v>
      </c>
      <c r="L412" t="s">
        <v>32</v>
      </c>
      <c r="M412" t="s">
        <v>32</v>
      </c>
      <c r="N412" t="s">
        <v>32</v>
      </c>
      <c r="O412" t="s">
        <v>32</v>
      </c>
      <c r="P412" t="s">
        <v>32</v>
      </c>
      <c r="Q412" t="s">
        <v>1556</v>
      </c>
      <c r="R412" s="3" t="s">
        <v>32</v>
      </c>
      <c r="S412" t="s">
        <v>32</v>
      </c>
      <c r="T412" s="1">
        <v>45397.749050925922</v>
      </c>
      <c r="U412" s="1">
        <v>45397.749050925922</v>
      </c>
      <c r="V412" s="2" t="s">
        <v>1557</v>
      </c>
    </row>
    <row r="413" spans="1:22" hidden="1" x14ac:dyDescent="0.45">
      <c r="A413" t="s">
        <v>1285</v>
      </c>
      <c r="B413" t="s">
        <v>355</v>
      </c>
      <c r="C413" t="s">
        <v>1558</v>
      </c>
      <c r="D413" t="s">
        <v>355</v>
      </c>
      <c r="F413" t="s">
        <v>326</v>
      </c>
      <c r="G413" t="s">
        <v>26</v>
      </c>
      <c r="H413" t="s">
        <v>27</v>
      </c>
      <c r="I413" t="s">
        <v>28</v>
      </c>
      <c r="J413" t="s">
        <v>32</v>
      </c>
      <c r="K413" t="s">
        <v>32</v>
      </c>
      <c r="L413" t="s">
        <v>32</v>
      </c>
      <c r="M413" t="s">
        <v>32</v>
      </c>
      <c r="N413" t="s">
        <v>32</v>
      </c>
      <c r="O413" t="s">
        <v>32</v>
      </c>
      <c r="P413" t="s">
        <v>32</v>
      </c>
      <c r="Q413" t="s">
        <v>1559</v>
      </c>
      <c r="R413" s="3" t="s">
        <v>32</v>
      </c>
      <c r="S413" t="s">
        <v>32</v>
      </c>
      <c r="T413" s="1">
        <v>45397.74145833333</v>
      </c>
      <c r="U413" s="1">
        <v>45426.609513888892</v>
      </c>
      <c r="V413" s="2" t="s">
        <v>1560</v>
      </c>
    </row>
    <row r="414" spans="1:22" hidden="1" x14ac:dyDescent="0.45">
      <c r="A414" t="s">
        <v>1285</v>
      </c>
      <c r="B414" t="s">
        <v>661</v>
      </c>
      <c r="C414" t="s">
        <v>1561</v>
      </c>
      <c r="D414" t="s">
        <v>951</v>
      </c>
      <c r="F414" t="s">
        <v>326</v>
      </c>
      <c r="G414" t="s">
        <v>26</v>
      </c>
      <c r="H414" t="s">
        <v>663</v>
      </c>
      <c r="I414" t="s">
        <v>28</v>
      </c>
      <c r="J414" t="s">
        <v>32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1562</v>
      </c>
      <c r="R414" s="3" t="s">
        <v>32</v>
      </c>
      <c r="S414" t="s">
        <v>32</v>
      </c>
      <c r="T414" s="1">
        <v>45397.74145833333</v>
      </c>
      <c r="U414" s="1">
        <v>45426.610486111109</v>
      </c>
      <c r="V414" s="2" t="s">
        <v>1563</v>
      </c>
    </row>
    <row r="415" spans="1:22" hidden="1" x14ac:dyDescent="0.45">
      <c r="A415" t="s">
        <v>1285</v>
      </c>
      <c r="B415" t="s">
        <v>672</v>
      </c>
      <c r="C415" t="s">
        <v>1564</v>
      </c>
      <c r="D415" t="s">
        <v>1565</v>
      </c>
      <c r="F415" t="s">
        <v>85</v>
      </c>
      <c r="G415" t="s">
        <v>188</v>
      </c>
      <c r="H415" t="s">
        <v>189</v>
      </c>
      <c r="I415" t="s">
        <v>190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1566</v>
      </c>
      <c r="R415" s="3" t="s">
        <v>32</v>
      </c>
      <c r="S415" t="s">
        <v>32</v>
      </c>
      <c r="T415" s="1">
        <v>45397.74145833333</v>
      </c>
      <c r="U415" s="1">
        <v>45436.616331018522</v>
      </c>
      <c r="V415" s="2" t="s">
        <v>1567</v>
      </c>
    </row>
    <row r="416" spans="1:22" hidden="1" x14ac:dyDescent="0.45">
      <c r="A416" t="s">
        <v>1285</v>
      </c>
      <c r="B416" t="s">
        <v>672</v>
      </c>
      <c r="C416" t="s">
        <v>1568</v>
      </c>
      <c r="D416" t="s">
        <v>1569</v>
      </c>
      <c r="F416" t="s">
        <v>71</v>
      </c>
      <c r="G416" t="s">
        <v>188</v>
      </c>
      <c r="H416" t="s">
        <v>189</v>
      </c>
      <c r="I416" t="s">
        <v>190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1570</v>
      </c>
      <c r="R416" s="3" t="s">
        <v>32</v>
      </c>
      <c r="S416" t="s">
        <v>32</v>
      </c>
      <c r="T416" s="1">
        <v>45397.741469907407</v>
      </c>
      <c r="U416" s="1">
        <v>45426.614398148151</v>
      </c>
      <c r="V416" s="2" t="s">
        <v>1571</v>
      </c>
    </row>
    <row r="417" spans="1:22" hidden="1" x14ac:dyDescent="0.45">
      <c r="A417" t="s">
        <v>1285</v>
      </c>
      <c r="B417" t="s">
        <v>672</v>
      </c>
      <c r="C417" t="s">
        <v>1572</v>
      </c>
      <c r="D417" t="s">
        <v>1573</v>
      </c>
      <c r="F417" t="s">
        <v>71</v>
      </c>
      <c r="G417" t="s">
        <v>188</v>
      </c>
      <c r="H417" t="s">
        <v>189</v>
      </c>
      <c r="I417" t="s">
        <v>190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1574</v>
      </c>
      <c r="R417" s="3" t="s">
        <v>32</v>
      </c>
      <c r="S417" t="s">
        <v>32</v>
      </c>
      <c r="T417" s="1">
        <v>45397.741469907407</v>
      </c>
      <c r="U417" s="1">
        <v>45426.614675925928</v>
      </c>
      <c r="V417" s="2" t="s">
        <v>1575</v>
      </c>
    </row>
    <row r="418" spans="1:22" hidden="1" x14ac:dyDescent="0.45">
      <c r="A418" t="s">
        <v>1285</v>
      </c>
      <c r="B418" t="s">
        <v>672</v>
      </c>
      <c r="C418" t="s">
        <v>1576</v>
      </c>
      <c r="D418" t="s">
        <v>1577</v>
      </c>
      <c r="F418" t="s">
        <v>71</v>
      </c>
      <c r="G418" t="s">
        <v>188</v>
      </c>
      <c r="H418" t="s">
        <v>189</v>
      </c>
      <c r="I418" t="s">
        <v>190</v>
      </c>
      <c r="J418" t="s">
        <v>32</v>
      </c>
      <c r="K418" t="s">
        <v>32</v>
      </c>
      <c r="L418" t="s">
        <v>32</v>
      </c>
      <c r="M418" t="s">
        <v>32</v>
      </c>
      <c r="N418" t="s">
        <v>32</v>
      </c>
      <c r="O418" t="s">
        <v>32</v>
      </c>
      <c r="P418" t="s">
        <v>32</v>
      </c>
      <c r="Q418" t="s">
        <v>1578</v>
      </c>
      <c r="R418" s="3" t="s">
        <v>32</v>
      </c>
      <c r="S418" t="s">
        <v>32</v>
      </c>
      <c r="T418" s="1">
        <v>45397.741469907407</v>
      </c>
      <c r="U418" s="1">
        <v>45426.614930555559</v>
      </c>
      <c r="V418" s="2" t="s">
        <v>1579</v>
      </c>
    </row>
    <row r="419" spans="1:22" hidden="1" x14ac:dyDescent="0.45">
      <c r="A419" t="s">
        <v>1285</v>
      </c>
      <c r="B419" t="s">
        <v>672</v>
      </c>
      <c r="C419" t="s">
        <v>1580</v>
      </c>
      <c r="D419" t="s">
        <v>1581</v>
      </c>
      <c r="F419" t="s">
        <v>71</v>
      </c>
      <c r="G419" t="s">
        <v>188</v>
      </c>
      <c r="H419" t="s">
        <v>189</v>
      </c>
      <c r="I419" t="s">
        <v>190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1582</v>
      </c>
      <c r="R419" s="3" t="s">
        <v>32</v>
      </c>
      <c r="S419" t="s">
        <v>32</v>
      </c>
      <c r="T419" s="1">
        <v>45397.741469907407</v>
      </c>
      <c r="U419" s="1">
        <v>45426.615057870367</v>
      </c>
      <c r="V419" s="2" t="s">
        <v>1583</v>
      </c>
    </row>
    <row r="420" spans="1:22" hidden="1" x14ac:dyDescent="0.45">
      <c r="A420" t="s">
        <v>1285</v>
      </c>
      <c r="B420" t="s">
        <v>368</v>
      </c>
      <c r="C420" t="s">
        <v>1584</v>
      </c>
      <c r="D420" t="s">
        <v>368</v>
      </c>
      <c r="F420" t="s">
        <v>85</v>
      </c>
      <c r="G420" t="s">
        <v>26</v>
      </c>
      <c r="H420" t="s">
        <v>27</v>
      </c>
      <c r="I420" t="s">
        <v>28</v>
      </c>
      <c r="J420" t="s">
        <v>32</v>
      </c>
      <c r="K420" t="s">
        <v>32</v>
      </c>
      <c r="L420" t="s">
        <v>32</v>
      </c>
      <c r="M420" t="s">
        <v>32</v>
      </c>
      <c r="N420" t="s">
        <v>32</v>
      </c>
      <c r="O420" t="s">
        <v>32</v>
      </c>
      <c r="P420" t="s">
        <v>32</v>
      </c>
      <c r="Q420" t="s">
        <v>1585</v>
      </c>
      <c r="R420" s="3" t="s">
        <v>32</v>
      </c>
      <c r="S420" t="s">
        <v>32</v>
      </c>
      <c r="T420" s="1">
        <v>45397.74145833333</v>
      </c>
      <c r="U420" s="1">
        <v>45426.61519675926</v>
      </c>
      <c r="V420" s="2" t="s">
        <v>1586</v>
      </c>
    </row>
    <row r="421" spans="1:22" hidden="1" x14ac:dyDescent="0.45">
      <c r="A421" t="s">
        <v>1285</v>
      </c>
      <c r="B421" t="s">
        <v>372</v>
      </c>
      <c r="C421" t="s">
        <v>1587</v>
      </c>
      <c r="D421" t="s">
        <v>372</v>
      </c>
      <c r="F421" t="s">
        <v>56</v>
      </c>
      <c r="G421" t="s">
        <v>188</v>
      </c>
      <c r="H421" t="s">
        <v>189</v>
      </c>
      <c r="I421" t="s">
        <v>287</v>
      </c>
      <c r="J421" t="s">
        <v>374</v>
      </c>
      <c r="K421" t="s">
        <v>30</v>
      </c>
      <c r="L421" t="s">
        <v>32</v>
      </c>
      <c r="M421" t="s">
        <v>32</v>
      </c>
      <c r="N421" t="s">
        <v>32</v>
      </c>
      <c r="O421" t="s">
        <v>32</v>
      </c>
      <c r="P421" t="s">
        <v>32</v>
      </c>
      <c r="Q421" t="s">
        <v>1588</v>
      </c>
      <c r="R421" s="3" t="s">
        <v>32</v>
      </c>
      <c r="S421" t="s">
        <v>32</v>
      </c>
      <c r="T421" s="1">
        <v>45397.74145833333</v>
      </c>
      <c r="U421" s="1">
        <v>45427.425787037035</v>
      </c>
      <c r="V421" s="2" t="s">
        <v>1589</v>
      </c>
    </row>
    <row r="422" spans="1:22" hidden="1" x14ac:dyDescent="0.45">
      <c r="A422" t="s">
        <v>1285</v>
      </c>
      <c r="B422" t="s">
        <v>691</v>
      </c>
      <c r="C422" t="s">
        <v>1590</v>
      </c>
      <c r="D422" t="s">
        <v>1591</v>
      </c>
      <c r="F422" t="s">
        <v>71</v>
      </c>
      <c r="G422" t="s">
        <v>32</v>
      </c>
      <c r="H422" t="s">
        <v>32</v>
      </c>
      <c r="I422" t="s">
        <v>32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32</v>
      </c>
      <c r="Q422" t="s">
        <v>1592</v>
      </c>
      <c r="R422" s="3" t="s">
        <v>32</v>
      </c>
      <c r="S422" t="s">
        <v>32</v>
      </c>
      <c r="T422" s="1">
        <v>45397.74145833333</v>
      </c>
      <c r="U422" s="1">
        <v>45397.74145833333</v>
      </c>
      <c r="V422" s="2" t="s">
        <v>1593</v>
      </c>
    </row>
    <row r="423" spans="1:22" hidden="1" x14ac:dyDescent="0.45">
      <c r="A423" t="s">
        <v>1285</v>
      </c>
      <c r="B423" t="s">
        <v>691</v>
      </c>
      <c r="C423" t="s">
        <v>1594</v>
      </c>
      <c r="D423" t="s">
        <v>1595</v>
      </c>
      <c r="F423" t="s">
        <v>71</v>
      </c>
      <c r="G423" t="s">
        <v>32</v>
      </c>
      <c r="H423" t="s">
        <v>32</v>
      </c>
      <c r="I423" t="s">
        <v>32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1596</v>
      </c>
      <c r="R423" s="3" t="s">
        <v>32</v>
      </c>
      <c r="S423" t="s">
        <v>32</v>
      </c>
      <c r="T423" s="1">
        <v>45397.741469907407</v>
      </c>
      <c r="U423" s="1">
        <v>45397.741469907407</v>
      </c>
      <c r="V423" s="2" t="s">
        <v>1597</v>
      </c>
    </row>
    <row r="424" spans="1:22" hidden="1" x14ac:dyDescent="0.45">
      <c r="A424" t="s">
        <v>1285</v>
      </c>
      <c r="B424" t="s">
        <v>691</v>
      </c>
      <c r="C424" t="s">
        <v>1598</v>
      </c>
      <c r="D424" t="s">
        <v>1599</v>
      </c>
      <c r="F424" t="s">
        <v>71</v>
      </c>
      <c r="G424" t="s">
        <v>32</v>
      </c>
      <c r="H424" t="s">
        <v>32</v>
      </c>
      <c r="I424" t="s">
        <v>32</v>
      </c>
      <c r="J424" t="s">
        <v>32</v>
      </c>
      <c r="K424" t="s">
        <v>32</v>
      </c>
      <c r="L424" t="s">
        <v>32</v>
      </c>
      <c r="M424" t="s">
        <v>32</v>
      </c>
      <c r="N424" t="s">
        <v>32</v>
      </c>
      <c r="O424" t="s">
        <v>32</v>
      </c>
      <c r="P424" t="s">
        <v>32</v>
      </c>
      <c r="Q424" t="s">
        <v>1600</v>
      </c>
      <c r="R424" s="3" t="s">
        <v>32</v>
      </c>
      <c r="S424" t="s">
        <v>32</v>
      </c>
      <c r="T424" s="1">
        <v>45397.741469907407</v>
      </c>
      <c r="U424" s="1">
        <v>45397.741469907407</v>
      </c>
      <c r="V424" s="2" t="s">
        <v>1601</v>
      </c>
    </row>
    <row r="425" spans="1:22" hidden="1" x14ac:dyDescent="0.45">
      <c r="A425" t="s">
        <v>1285</v>
      </c>
      <c r="B425" t="s">
        <v>691</v>
      </c>
      <c r="C425" t="s">
        <v>1602</v>
      </c>
      <c r="D425" t="s">
        <v>390</v>
      </c>
      <c r="F425" t="s">
        <v>71</v>
      </c>
      <c r="G425" t="s">
        <v>32</v>
      </c>
      <c r="H425" t="s">
        <v>32</v>
      </c>
      <c r="I425" t="s">
        <v>32</v>
      </c>
      <c r="J425" t="s">
        <v>32</v>
      </c>
      <c r="K425" t="s">
        <v>32</v>
      </c>
      <c r="L425" t="s">
        <v>32</v>
      </c>
      <c r="M425" t="s">
        <v>32</v>
      </c>
      <c r="N425" t="s">
        <v>32</v>
      </c>
      <c r="O425" t="s">
        <v>32</v>
      </c>
      <c r="P425" t="s">
        <v>32</v>
      </c>
      <c r="Q425" t="s">
        <v>1603</v>
      </c>
      <c r="R425" s="3" t="s">
        <v>32</v>
      </c>
      <c r="S425" t="s">
        <v>32</v>
      </c>
      <c r="T425" s="1">
        <v>45397.741469907407</v>
      </c>
      <c r="U425" s="1">
        <v>45397.741469907407</v>
      </c>
      <c r="V425" s="2" t="s">
        <v>1604</v>
      </c>
    </row>
    <row r="426" spans="1:22" hidden="1" x14ac:dyDescent="0.45">
      <c r="A426" t="s">
        <v>1285</v>
      </c>
      <c r="B426" t="s">
        <v>696</v>
      </c>
      <c r="C426" t="s">
        <v>1605</v>
      </c>
      <c r="D426" t="s">
        <v>698</v>
      </c>
      <c r="F426" t="s">
        <v>71</v>
      </c>
      <c r="G426" t="s">
        <v>32</v>
      </c>
      <c r="H426" t="s">
        <v>32</v>
      </c>
      <c r="I426" t="s">
        <v>32</v>
      </c>
      <c r="J426" t="s">
        <v>32</v>
      </c>
      <c r="K426" t="s">
        <v>32</v>
      </c>
      <c r="L426" t="s">
        <v>32</v>
      </c>
      <c r="M426" t="s">
        <v>32</v>
      </c>
      <c r="N426" t="s">
        <v>32</v>
      </c>
      <c r="O426" t="s">
        <v>32</v>
      </c>
      <c r="P426" t="s">
        <v>32</v>
      </c>
      <c r="Q426" t="s">
        <v>1606</v>
      </c>
      <c r="R426" s="3" t="s">
        <v>32</v>
      </c>
      <c r="S426" t="s">
        <v>32</v>
      </c>
      <c r="T426" s="1">
        <v>45397.741469907407</v>
      </c>
      <c r="U426" s="1">
        <v>45397.741469907407</v>
      </c>
      <c r="V426" s="2" t="s">
        <v>1607</v>
      </c>
    </row>
    <row r="427" spans="1:22" hidden="1" x14ac:dyDescent="0.45">
      <c r="A427" t="s">
        <v>1285</v>
      </c>
      <c r="B427" t="s">
        <v>696</v>
      </c>
      <c r="C427" t="s">
        <v>1608</v>
      </c>
      <c r="D427" t="s">
        <v>1609</v>
      </c>
      <c r="F427" t="s">
        <v>71</v>
      </c>
      <c r="G427" t="s">
        <v>32</v>
      </c>
      <c r="H427" t="s">
        <v>32</v>
      </c>
      <c r="I427" t="s">
        <v>32</v>
      </c>
      <c r="J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32</v>
      </c>
      <c r="Q427" t="s">
        <v>1610</v>
      </c>
      <c r="R427" s="3" t="s">
        <v>32</v>
      </c>
      <c r="S427" t="s">
        <v>32</v>
      </c>
      <c r="T427" s="1">
        <v>45397.741469907407</v>
      </c>
      <c r="U427" s="1">
        <v>45397.741469907407</v>
      </c>
      <c r="V427" s="2" t="s">
        <v>1611</v>
      </c>
    </row>
    <row r="428" spans="1:22" hidden="1" x14ac:dyDescent="0.45">
      <c r="A428" t="s">
        <v>1285</v>
      </c>
      <c r="B428" t="s">
        <v>696</v>
      </c>
      <c r="C428" t="s">
        <v>1612</v>
      </c>
      <c r="D428" t="s">
        <v>1613</v>
      </c>
      <c r="F428" t="s">
        <v>71</v>
      </c>
      <c r="G428" t="s">
        <v>32</v>
      </c>
      <c r="H428" t="s">
        <v>32</v>
      </c>
      <c r="I428" t="s">
        <v>32</v>
      </c>
      <c r="J428" t="s">
        <v>32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32</v>
      </c>
      <c r="Q428" t="s">
        <v>1614</v>
      </c>
      <c r="R428" s="3" t="s">
        <v>32</v>
      </c>
      <c r="S428" t="s">
        <v>32</v>
      </c>
      <c r="T428" s="1">
        <v>45397.741469907407</v>
      </c>
      <c r="U428" s="1">
        <v>45397.741469907407</v>
      </c>
      <c r="V428" s="2" t="s">
        <v>1615</v>
      </c>
    </row>
    <row r="429" spans="1:22" hidden="1" x14ac:dyDescent="0.45">
      <c r="A429" t="s">
        <v>1285</v>
      </c>
      <c r="B429" t="s">
        <v>701</v>
      </c>
      <c r="C429" t="s">
        <v>1616</v>
      </c>
      <c r="D429" t="s">
        <v>1617</v>
      </c>
      <c r="F429" t="s">
        <v>71</v>
      </c>
      <c r="G429" t="s">
        <v>32</v>
      </c>
      <c r="H429" t="s">
        <v>32</v>
      </c>
      <c r="I429" t="s">
        <v>32</v>
      </c>
      <c r="J429" t="s">
        <v>32</v>
      </c>
      <c r="K429" t="s">
        <v>32</v>
      </c>
      <c r="L429" t="s">
        <v>32</v>
      </c>
      <c r="M429" t="s">
        <v>32</v>
      </c>
      <c r="N429" t="s">
        <v>32</v>
      </c>
      <c r="O429" t="s">
        <v>32</v>
      </c>
      <c r="P429" t="s">
        <v>32</v>
      </c>
      <c r="Q429" t="s">
        <v>1618</v>
      </c>
      <c r="R429" s="3" t="s">
        <v>32</v>
      </c>
      <c r="S429" t="s">
        <v>32</v>
      </c>
      <c r="T429" s="1">
        <v>45397.74145833333</v>
      </c>
      <c r="U429" s="1">
        <v>45397.74145833333</v>
      </c>
      <c r="V429" s="2" t="s">
        <v>1619</v>
      </c>
    </row>
    <row r="430" spans="1:22" hidden="1" x14ac:dyDescent="0.45">
      <c r="A430" t="s">
        <v>1285</v>
      </c>
      <c r="B430" t="s">
        <v>701</v>
      </c>
      <c r="C430" t="s">
        <v>1620</v>
      </c>
      <c r="D430" t="s">
        <v>1621</v>
      </c>
      <c r="F430" t="s">
        <v>25</v>
      </c>
      <c r="G430" t="s">
        <v>32</v>
      </c>
      <c r="H430" t="s">
        <v>32</v>
      </c>
      <c r="I430" t="s">
        <v>32</v>
      </c>
      <c r="J430" t="s">
        <v>32</v>
      </c>
      <c r="K430" t="s">
        <v>32</v>
      </c>
      <c r="L430" t="s">
        <v>32</v>
      </c>
      <c r="M430" t="s">
        <v>32</v>
      </c>
      <c r="N430" t="s">
        <v>32</v>
      </c>
      <c r="O430" t="s">
        <v>32</v>
      </c>
      <c r="P430" t="s">
        <v>32</v>
      </c>
      <c r="Q430" t="s">
        <v>1622</v>
      </c>
      <c r="R430" s="3" t="s">
        <v>32</v>
      </c>
      <c r="S430" t="s">
        <v>32</v>
      </c>
      <c r="T430" s="1">
        <v>45397.741469907407</v>
      </c>
      <c r="U430" s="1">
        <v>45397.741469907407</v>
      </c>
      <c r="V430" s="2" t="s">
        <v>1623</v>
      </c>
    </row>
    <row r="431" spans="1:22" hidden="1" x14ac:dyDescent="0.45">
      <c r="A431" t="s">
        <v>1285</v>
      </c>
      <c r="B431" t="s">
        <v>701</v>
      </c>
      <c r="C431" t="s">
        <v>1624</v>
      </c>
      <c r="D431" t="s">
        <v>709</v>
      </c>
      <c r="F431" t="s">
        <v>71</v>
      </c>
      <c r="G431" t="s">
        <v>32</v>
      </c>
      <c r="H431" t="s">
        <v>32</v>
      </c>
      <c r="I431" t="s">
        <v>32</v>
      </c>
      <c r="J431" t="s">
        <v>32</v>
      </c>
      <c r="K431" t="s">
        <v>32</v>
      </c>
      <c r="L431" t="s">
        <v>32</v>
      </c>
      <c r="M431" t="s">
        <v>32</v>
      </c>
      <c r="N431" t="s">
        <v>32</v>
      </c>
      <c r="O431" t="s">
        <v>32</v>
      </c>
      <c r="P431" t="s">
        <v>32</v>
      </c>
      <c r="Q431" t="s">
        <v>1625</v>
      </c>
      <c r="R431" s="3">
        <v>3</v>
      </c>
      <c r="S431" t="s">
        <v>32</v>
      </c>
      <c r="T431" s="1">
        <v>45397.741469907407</v>
      </c>
      <c r="U431" s="1">
        <v>45483.639224537037</v>
      </c>
      <c r="V431" s="2" t="s">
        <v>1626</v>
      </c>
    </row>
    <row r="432" spans="1:22" hidden="1" x14ac:dyDescent="0.45">
      <c r="A432" t="s">
        <v>1285</v>
      </c>
      <c r="B432" t="s">
        <v>701</v>
      </c>
      <c r="C432" t="s">
        <v>1627</v>
      </c>
      <c r="D432" t="s">
        <v>1628</v>
      </c>
      <c r="F432" t="s">
        <v>71</v>
      </c>
      <c r="G432" t="s">
        <v>32</v>
      </c>
      <c r="H432" t="s">
        <v>32</v>
      </c>
      <c r="I432" t="s">
        <v>32</v>
      </c>
      <c r="J432" t="s">
        <v>32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1629</v>
      </c>
      <c r="R432" s="3">
        <v>3</v>
      </c>
      <c r="S432" t="s">
        <v>32</v>
      </c>
      <c r="T432" s="1">
        <v>45397.741469907407</v>
      </c>
      <c r="U432" s="1">
        <v>45483.639548611114</v>
      </c>
      <c r="V432" s="2" t="s">
        <v>1630</v>
      </c>
    </row>
    <row r="433" spans="1:22" hidden="1" x14ac:dyDescent="0.45">
      <c r="A433" t="s">
        <v>1285</v>
      </c>
      <c r="B433" t="s">
        <v>701</v>
      </c>
      <c r="C433" t="s">
        <v>1631</v>
      </c>
      <c r="D433" t="s">
        <v>1632</v>
      </c>
      <c r="F433" t="s">
        <v>71</v>
      </c>
      <c r="G433" t="s">
        <v>32</v>
      </c>
      <c r="H433" t="s">
        <v>32</v>
      </c>
      <c r="I433" t="s">
        <v>32</v>
      </c>
      <c r="J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1633</v>
      </c>
      <c r="R433" s="3">
        <v>3</v>
      </c>
      <c r="S433" t="s">
        <v>32</v>
      </c>
      <c r="T433" s="1">
        <v>45397.741469907407</v>
      </c>
      <c r="U433" s="1">
        <v>45483.639340277776</v>
      </c>
      <c r="V433" s="2" t="s">
        <v>1634</v>
      </c>
    </row>
    <row r="434" spans="1:22" hidden="1" x14ac:dyDescent="0.45">
      <c r="A434" t="s">
        <v>1285</v>
      </c>
      <c r="B434" t="s">
        <v>701</v>
      </c>
      <c r="C434" t="s">
        <v>1635</v>
      </c>
      <c r="D434" t="s">
        <v>1636</v>
      </c>
      <c r="F434" t="s">
        <v>71</v>
      </c>
      <c r="G434" t="s">
        <v>32</v>
      </c>
      <c r="H434" t="s">
        <v>32</v>
      </c>
      <c r="I434" t="s">
        <v>32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32</v>
      </c>
      <c r="Q434" t="s">
        <v>1637</v>
      </c>
      <c r="R434" s="3">
        <v>3</v>
      </c>
      <c r="S434" t="s">
        <v>32</v>
      </c>
      <c r="T434" s="1">
        <v>45397.741469907407</v>
      </c>
      <c r="U434" s="1">
        <v>45483.639456018522</v>
      </c>
      <c r="V434" s="2" t="s">
        <v>1638</v>
      </c>
    </row>
    <row r="435" spans="1:22" hidden="1" x14ac:dyDescent="0.45">
      <c r="A435" t="s">
        <v>1285</v>
      </c>
      <c r="B435" t="s">
        <v>1639</v>
      </c>
      <c r="C435" t="s">
        <v>1640</v>
      </c>
      <c r="D435" t="s">
        <v>1639</v>
      </c>
      <c r="F435" t="s">
        <v>25</v>
      </c>
      <c r="G435" t="s">
        <v>188</v>
      </c>
      <c r="H435" t="s">
        <v>189</v>
      </c>
      <c r="I435" t="s">
        <v>190</v>
      </c>
      <c r="J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32</v>
      </c>
      <c r="Q435" t="s">
        <v>1641</v>
      </c>
      <c r="R435" s="3" t="s">
        <v>32</v>
      </c>
      <c r="S435" t="s">
        <v>32</v>
      </c>
      <c r="T435" s="1">
        <v>45397.741469907407</v>
      </c>
      <c r="U435" s="1">
        <v>45427.451516203706</v>
      </c>
      <c r="V435" s="2" t="s">
        <v>1642</v>
      </c>
    </row>
    <row r="436" spans="1:22" hidden="1" x14ac:dyDescent="0.45">
      <c r="A436" t="s">
        <v>1643</v>
      </c>
      <c r="B436" t="s">
        <v>1644</v>
      </c>
      <c r="C436" t="s">
        <v>32</v>
      </c>
      <c r="D436" t="s">
        <v>1645</v>
      </c>
      <c r="F436" t="s">
        <v>32</v>
      </c>
      <c r="G436" t="s">
        <v>26</v>
      </c>
      <c r="H436" t="s">
        <v>32</v>
      </c>
      <c r="I436" t="s">
        <v>32</v>
      </c>
      <c r="J436" t="s">
        <v>301</v>
      </c>
      <c r="K436" t="s">
        <v>63</v>
      </c>
      <c r="L436" t="s">
        <v>1646</v>
      </c>
      <c r="M436" t="s">
        <v>1647</v>
      </c>
      <c r="N436" t="s">
        <v>32</v>
      </c>
      <c r="O436" t="s">
        <v>32</v>
      </c>
      <c r="P436" t="s">
        <v>32</v>
      </c>
      <c r="Q436" t="s">
        <v>1648</v>
      </c>
      <c r="R436" s="3" t="s">
        <v>32</v>
      </c>
      <c r="S436" t="s">
        <v>32</v>
      </c>
      <c r="T436" s="1">
        <v>45462.730081018519</v>
      </c>
      <c r="U436" s="1">
        <v>45470.707928240743</v>
      </c>
      <c r="V436" s="2" t="s">
        <v>1649</v>
      </c>
    </row>
    <row r="437" spans="1:22" hidden="1" x14ac:dyDescent="0.45">
      <c r="A437" t="s">
        <v>1643</v>
      </c>
      <c r="B437" t="s">
        <v>345</v>
      </c>
      <c r="C437" t="s">
        <v>32</v>
      </c>
      <c r="D437" t="s">
        <v>1650</v>
      </c>
      <c r="F437" t="s">
        <v>32</v>
      </c>
      <c r="G437" t="s">
        <v>26</v>
      </c>
      <c r="H437" t="s">
        <v>27</v>
      </c>
      <c r="I437" t="s">
        <v>28</v>
      </c>
      <c r="J437" t="s">
        <v>1651</v>
      </c>
      <c r="K437" t="s">
        <v>337</v>
      </c>
      <c r="L437" t="s">
        <v>1652</v>
      </c>
      <c r="M437" t="s">
        <v>1653</v>
      </c>
      <c r="N437" t="s">
        <v>32</v>
      </c>
      <c r="O437" t="s">
        <v>32</v>
      </c>
      <c r="P437" t="s">
        <v>32</v>
      </c>
      <c r="Q437" t="s">
        <v>1654</v>
      </c>
      <c r="R437" s="3" t="s">
        <v>32</v>
      </c>
      <c r="S437" t="s">
        <v>32</v>
      </c>
      <c r="T437" s="1">
        <v>45524.483483796299</v>
      </c>
      <c r="U437" s="1">
        <v>45524.488032407404</v>
      </c>
      <c r="V437" s="2" t="s">
        <v>1655</v>
      </c>
    </row>
    <row r="438" spans="1:22" hidden="1" x14ac:dyDescent="0.45">
      <c r="A438" t="s">
        <v>1643</v>
      </c>
      <c r="B438" t="s">
        <v>284</v>
      </c>
      <c r="C438" t="s">
        <v>32</v>
      </c>
      <c r="D438" t="s">
        <v>1656</v>
      </c>
      <c r="F438" t="s">
        <v>32</v>
      </c>
      <c r="G438" t="s">
        <v>188</v>
      </c>
      <c r="H438" t="s">
        <v>189</v>
      </c>
      <c r="I438" t="s">
        <v>287</v>
      </c>
      <c r="J438" t="s">
        <v>274</v>
      </c>
      <c r="K438" t="s">
        <v>63</v>
      </c>
      <c r="L438" t="s">
        <v>288</v>
      </c>
      <c r="M438" t="s">
        <v>32</v>
      </c>
      <c r="N438" t="s">
        <v>1657</v>
      </c>
      <c r="O438" t="s">
        <v>290</v>
      </c>
      <c r="P438" t="s">
        <v>32</v>
      </c>
      <c r="Q438" t="s">
        <v>1658</v>
      </c>
      <c r="R438" s="3" t="s">
        <v>32</v>
      </c>
      <c r="S438" t="s">
        <v>32</v>
      </c>
      <c r="T438" s="1">
        <v>45477.539085648146</v>
      </c>
      <c r="U438" s="1">
        <v>45483.53696759259</v>
      </c>
      <c r="V438" s="2" t="s">
        <v>1659</v>
      </c>
    </row>
    <row r="439" spans="1:22" hidden="1" x14ac:dyDescent="0.45">
      <c r="A439" t="s">
        <v>1643</v>
      </c>
      <c r="B439" t="s">
        <v>59</v>
      </c>
      <c r="C439" t="s">
        <v>32</v>
      </c>
      <c r="D439" t="s">
        <v>1660</v>
      </c>
      <c r="F439" t="s">
        <v>32</v>
      </c>
      <c r="G439" t="s">
        <v>26</v>
      </c>
      <c r="H439" t="s">
        <v>62</v>
      </c>
      <c r="I439" t="s">
        <v>28</v>
      </c>
      <c r="J439" t="s">
        <v>274</v>
      </c>
      <c r="K439" t="s">
        <v>63</v>
      </c>
      <c r="L439" t="s">
        <v>64</v>
      </c>
      <c r="M439" t="s">
        <v>32</v>
      </c>
      <c r="N439" t="s">
        <v>65</v>
      </c>
      <c r="O439" t="s">
        <v>66</v>
      </c>
      <c r="P439" t="s">
        <v>32</v>
      </c>
      <c r="Q439" t="s">
        <v>1661</v>
      </c>
      <c r="R439" s="3" t="s">
        <v>32</v>
      </c>
      <c r="S439" t="s">
        <v>32</v>
      </c>
      <c r="T439" s="1">
        <v>45460.632569444446</v>
      </c>
      <c r="U439" s="1">
        <v>45470.708506944444</v>
      </c>
      <c r="V439" s="2" t="s">
        <v>1662</v>
      </c>
    </row>
    <row r="440" spans="1:22" hidden="1" x14ac:dyDescent="0.45">
      <c r="A440" t="s">
        <v>1643</v>
      </c>
      <c r="B440" t="s">
        <v>1663</v>
      </c>
      <c r="C440" t="s">
        <v>32</v>
      </c>
      <c r="D440" t="s">
        <v>1664</v>
      </c>
      <c r="F440" t="s">
        <v>32</v>
      </c>
      <c r="G440" t="s">
        <v>26</v>
      </c>
      <c r="H440" t="s">
        <v>32</v>
      </c>
      <c r="I440" t="s">
        <v>32</v>
      </c>
      <c r="J440" t="s">
        <v>301</v>
      </c>
      <c r="K440" t="s">
        <v>63</v>
      </c>
      <c r="L440" t="s">
        <v>1665</v>
      </c>
      <c r="M440" t="s">
        <v>1666</v>
      </c>
      <c r="N440" t="s">
        <v>32</v>
      </c>
      <c r="O440" t="s">
        <v>32</v>
      </c>
      <c r="P440" t="s">
        <v>32</v>
      </c>
      <c r="Q440" t="s">
        <v>1667</v>
      </c>
      <c r="R440" s="3" t="s">
        <v>32</v>
      </c>
      <c r="S440" t="s">
        <v>32</v>
      </c>
      <c r="T440" s="1">
        <v>45512.49145833333</v>
      </c>
      <c r="U440" s="1">
        <v>45512.495694444442</v>
      </c>
      <c r="V440" s="2" t="s">
        <v>1668</v>
      </c>
    </row>
    <row r="441" spans="1:22" hidden="1" x14ac:dyDescent="0.45">
      <c r="A441" t="s">
        <v>1643</v>
      </c>
      <c r="B441" t="s">
        <v>59</v>
      </c>
      <c r="C441" t="s">
        <v>32</v>
      </c>
      <c r="D441" t="s">
        <v>1669</v>
      </c>
      <c r="F441" t="s">
        <v>32</v>
      </c>
      <c r="G441" t="s">
        <v>26</v>
      </c>
      <c r="H441" t="s">
        <v>62</v>
      </c>
      <c r="I441" t="s">
        <v>28</v>
      </c>
      <c r="J441" t="s">
        <v>274</v>
      </c>
      <c r="K441" t="s">
        <v>63</v>
      </c>
      <c r="L441" t="s">
        <v>64</v>
      </c>
      <c r="M441" t="s">
        <v>32</v>
      </c>
      <c r="N441" t="s">
        <v>65</v>
      </c>
      <c r="O441" t="s">
        <v>66</v>
      </c>
      <c r="P441" t="s">
        <v>32</v>
      </c>
      <c r="Q441" t="s">
        <v>1670</v>
      </c>
      <c r="R441" s="3" t="s">
        <v>32</v>
      </c>
      <c r="S441" t="s">
        <v>32</v>
      </c>
      <c r="T441" s="1">
        <v>45470.502395833333</v>
      </c>
      <c r="U441" s="1">
        <v>45470.708229166667</v>
      </c>
      <c r="V441" s="2" t="s">
        <v>1671</v>
      </c>
    </row>
    <row r="442" spans="1:22" hidden="1" x14ac:dyDescent="0.45">
      <c r="A442" t="s">
        <v>1643</v>
      </c>
      <c r="B442" t="s">
        <v>284</v>
      </c>
      <c r="C442" t="s">
        <v>32</v>
      </c>
      <c r="D442" t="s">
        <v>1672</v>
      </c>
      <c r="F442" t="s">
        <v>32</v>
      </c>
      <c r="G442" t="s">
        <v>188</v>
      </c>
      <c r="H442" t="s">
        <v>189</v>
      </c>
      <c r="I442" t="s">
        <v>287</v>
      </c>
      <c r="J442" t="s">
        <v>274</v>
      </c>
      <c r="K442" t="s">
        <v>63</v>
      </c>
      <c r="L442" t="s">
        <v>288</v>
      </c>
      <c r="M442" t="s">
        <v>32</v>
      </c>
      <c r="N442" t="s">
        <v>1657</v>
      </c>
      <c r="O442" t="s">
        <v>290</v>
      </c>
      <c r="P442" t="s">
        <v>32</v>
      </c>
      <c r="Q442" t="s">
        <v>1673</v>
      </c>
      <c r="R442" s="3" t="s">
        <v>32</v>
      </c>
      <c r="S442" t="s">
        <v>32</v>
      </c>
      <c r="T442" s="1">
        <v>45460.498032407406</v>
      </c>
      <c r="U442" s="1">
        <v>45470.708958333336</v>
      </c>
      <c r="V442" s="2" t="s">
        <v>1674</v>
      </c>
    </row>
    <row r="443" spans="1:22" hidden="1" x14ac:dyDescent="0.45">
      <c r="A443" t="s">
        <v>1643</v>
      </c>
      <c r="B443" t="s">
        <v>1663</v>
      </c>
      <c r="C443" t="s">
        <v>32</v>
      </c>
      <c r="D443" t="s">
        <v>1675</v>
      </c>
      <c r="F443" t="s">
        <v>32</v>
      </c>
      <c r="G443" t="s">
        <v>26</v>
      </c>
      <c r="H443" t="s">
        <v>32</v>
      </c>
      <c r="I443" t="s">
        <v>32</v>
      </c>
      <c r="J443" t="s">
        <v>301</v>
      </c>
      <c r="K443" t="s">
        <v>63</v>
      </c>
      <c r="L443" t="s">
        <v>1665</v>
      </c>
      <c r="M443" t="s">
        <v>1666</v>
      </c>
      <c r="N443" t="s">
        <v>32</v>
      </c>
      <c r="O443" t="s">
        <v>32</v>
      </c>
      <c r="P443" t="s">
        <v>32</v>
      </c>
      <c r="Q443" t="s">
        <v>1676</v>
      </c>
      <c r="R443" s="3" t="s">
        <v>32</v>
      </c>
      <c r="S443" t="s">
        <v>32</v>
      </c>
      <c r="T443" s="1">
        <v>45481.53800925926</v>
      </c>
      <c r="U443" s="1">
        <v>45483.536597222221</v>
      </c>
      <c r="V443" s="2" t="s">
        <v>1677</v>
      </c>
    </row>
    <row r="444" spans="1:22" hidden="1" x14ac:dyDescent="0.45">
      <c r="A444" t="s">
        <v>1643</v>
      </c>
      <c r="B444" t="s">
        <v>1644</v>
      </c>
      <c r="C444" t="s">
        <v>32</v>
      </c>
      <c r="D444" t="s">
        <v>1678</v>
      </c>
      <c r="F444" t="s">
        <v>32</v>
      </c>
      <c r="G444" t="s">
        <v>26</v>
      </c>
      <c r="H444" t="s">
        <v>32</v>
      </c>
      <c r="I444" t="s">
        <v>32</v>
      </c>
      <c r="J444" t="s">
        <v>301</v>
      </c>
      <c r="K444" t="s">
        <v>63</v>
      </c>
      <c r="L444" t="s">
        <v>1646</v>
      </c>
      <c r="M444" t="s">
        <v>1647</v>
      </c>
      <c r="N444" t="s">
        <v>32</v>
      </c>
      <c r="O444" t="s">
        <v>32</v>
      </c>
      <c r="P444" t="s">
        <v>32</v>
      </c>
      <c r="Q444" t="s">
        <v>1679</v>
      </c>
      <c r="R444" s="3" t="s">
        <v>32</v>
      </c>
      <c r="S444" t="s">
        <v>32</v>
      </c>
      <c r="T444" s="1">
        <v>45463.475300925929</v>
      </c>
      <c r="U444" s="1">
        <v>45470.708009259259</v>
      </c>
      <c r="V444" s="2" t="s">
        <v>1680</v>
      </c>
    </row>
    <row r="445" spans="1:22" hidden="1" x14ac:dyDescent="0.45">
      <c r="A445" t="s">
        <v>1643</v>
      </c>
      <c r="B445" t="s">
        <v>1681</v>
      </c>
      <c r="C445" t="s">
        <v>32</v>
      </c>
      <c r="D445" t="s">
        <v>1682</v>
      </c>
      <c r="F445" t="s">
        <v>32</v>
      </c>
      <c r="G445" t="s">
        <v>26</v>
      </c>
      <c r="H445" t="s">
        <v>32</v>
      </c>
      <c r="I445" t="s">
        <v>32</v>
      </c>
      <c r="J445" t="s">
        <v>301</v>
      </c>
      <c r="K445" t="s">
        <v>63</v>
      </c>
      <c r="L445" t="s">
        <v>1683</v>
      </c>
      <c r="M445" t="s">
        <v>1684</v>
      </c>
      <c r="N445" t="s">
        <v>32</v>
      </c>
      <c r="O445" t="s">
        <v>32</v>
      </c>
      <c r="P445" t="s">
        <v>32</v>
      </c>
      <c r="Q445" t="s">
        <v>1685</v>
      </c>
      <c r="R445" s="3" t="s">
        <v>32</v>
      </c>
      <c r="S445" t="s">
        <v>32</v>
      </c>
      <c r="T445" s="1">
        <v>45554.488622685189</v>
      </c>
      <c r="U445" s="1">
        <v>45559.751354166663</v>
      </c>
      <c r="V445" s="2" t="s">
        <v>1686</v>
      </c>
    </row>
    <row r="446" spans="1:22" hidden="1" x14ac:dyDescent="0.45">
      <c r="A446" t="s">
        <v>1643</v>
      </c>
      <c r="B446" t="s">
        <v>284</v>
      </c>
      <c r="C446" t="s">
        <v>32</v>
      </c>
      <c r="D446" t="s">
        <v>1687</v>
      </c>
      <c r="F446" t="s">
        <v>32</v>
      </c>
      <c r="G446" t="s">
        <v>188</v>
      </c>
      <c r="H446" t="s">
        <v>189</v>
      </c>
      <c r="I446" t="s">
        <v>287</v>
      </c>
      <c r="J446" t="s">
        <v>274</v>
      </c>
      <c r="K446" t="s">
        <v>63</v>
      </c>
      <c r="L446" t="s">
        <v>288</v>
      </c>
      <c r="M446" t="s">
        <v>32</v>
      </c>
      <c r="N446" t="s">
        <v>1657</v>
      </c>
      <c r="O446" t="s">
        <v>290</v>
      </c>
      <c r="P446" t="s">
        <v>32</v>
      </c>
      <c r="Q446" t="s">
        <v>1688</v>
      </c>
      <c r="R446" s="3" t="s">
        <v>32</v>
      </c>
      <c r="S446" t="s">
        <v>32</v>
      </c>
      <c r="T446" s="1">
        <v>45477.539780092593</v>
      </c>
      <c r="U446" s="1">
        <v>45483.536053240743</v>
      </c>
      <c r="V446" s="2" t="s">
        <v>1689</v>
      </c>
    </row>
    <row r="447" spans="1:22" hidden="1" x14ac:dyDescent="0.45">
      <c r="A447" t="s">
        <v>1643</v>
      </c>
      <c r="B447" t="s">
        <v>284</v>
      </c>
      <c r="C447" t="s">
        <v>32</v>
      </c>
      <c r="D447" t="s">
        <v>1690</v>
      </c>
      <c r="F447" t="s">
        <v>32</v>
      </c>
      <c r="G447" t="s">
        <v>188</v>
      </c>
      <c r="H447" t="s">
        <v>189</v>
      </c>
      <c r="I447" t="s">
        <v>287</v>
      </c>
      <c r="J447" t="s">
        <v>274</v>
      </c>
      <c r="K447" t="s">
        <v>63</v>
      </c>
      <c r="L447" t="s">
        <v>288</v>
      </c>
      <c r="M447" t="s">
        <v>32</v>
      </c>
      <c r="N447" t="s">
        <v>1657</v>
      </c>
      <c r="O447" t="s">
        <v>290</v>
      </c>
      <c r="P447" t="s">
        <v>32</v>
      </c>
      <c r="Q447" t="s">
        <v>1691</v>
      </c>
      <c r="R447" s="3" t="s">
        <v>32</v>
      </c>
      <c r="S447" t="s">
        <v>32</v>
      </c>
      <c r="T447" s="1">
        <v>45460.633437500001</v>
      </c>
      <c r="U447" s="1">
        <v>45470.70857638889</v>
      </c>
      <c r="V447" s="2" t="s">
        <v>1692</v>
      </c>
    </row>
    <row r="448" spans="1:22" hidden="1" x14ac:dyDescent="0.45">
      <c r="A448" t="s">
        <v>1643</v>
      </c>
      <c r="B448" t="s">
        <v>1663</v>
      </c>
      <c r="C448" t="s">
        <v>32</v>
      </c>
      <c r="D448" t="s">
        <v>1693</v>
      </c>
      <c r="F448" t="s">
        <v>32</v>
      </c>
      <c r="G448" t="s">
        <v>26</v>
      </c>
      <c r="H448" t="s">
        <v>32</v>
      </c>
      <c r="I448" t="s">
        <v>32</v>
      </c>
      <c r="J448" t="s">
        <v>301</v>
      </c>
      <c r="K448" t="s">
        <v>63</v>
      </c>
      <c r="L448" t="s">
        <v>1665</v>
      </c>
      <c r="M448" t="s">
        <v>1666</v>
      </c>
      <c r="N448" t="s">
        <v>32</v>
      </c>
      <c r="O448" t="s">
        <v>32</v>
      </c>
      <c r="P448" t="s">
        <v>32</v>
      </c>
      <c r="Q448" t="s">
        <v>1694</v>
      </c>
      <c r="R448" s="3" t="s">
        <v>32</v>
      </c>
      <c r="S448" t="s">
        <v>32</v>
      </c>
      <c r="T448" s="1">
        <v>45512.493310185186</v>
      </c>
      <c r="U448" s="1">
        <v>45512.495810185188</v>
      </c>
      <c r="V448" s="2" t="s">
        <v>1695</v>
      </c>
    </row>
    <row r="449" spans="1:22" hidden="1" x14ac:dyDescent="0.45">
      <c r="A449" t="s">
        <v>1643</v>
      </c>
      <c r="B449" t="s">
        <v>284</v>
      </c>
      <c r="C449" t="s">
        <v>32</v>
      </c>
      <c r="D449" t="s">
        <v>1696</v>
      </c>
      <c r="F449" t="s">
        <v>32</v>
      </c>
      <c r="G449" t="s">
        <v>188</v>
      </c>
      <c r="H449" t="s">
        <v>189</v>
      </c>
      <c r="I449" t="s">
        <v>287</v>
      </c>
      <c r="J449" t="s">
        <v>274</v>
      </c>
      <c r="K449" t="s">
        <v>63</v>
      </c>
      <c r="L449" t="s">
        <v>288</v>
      </c>
      <c r="M449" t="s">
        <v>32</v>
      </c>
      <c r="N449" t="s">
        <v>1657</v>
      </c>
      <c r="O449" t="s">
        <v>290</v>
      </c>
      <c r="P449" t="s">
        <v>32</v>
      </c>
      <c r="Q449" t="s">
        <v>1697</v>
      </c>
      <c r="R449" s="3" t="s">
        <v>32</v>
      </c>
      <c r="S449" t="s">
        <v>32</v>
      </c>
      <c r="T449" s="1">
        <v>45470.50513888889</v>
      </c>
      <c r="U449" s="1">
        <v>45470.708310185182</v>
      </c>
      <c r="V449" s="2" t="s">
        <v>1698</v>
      </c>
    </row>
    <row r="450" spans="1:22" hidden="1" x14ac:dyDescent="0.45">
      <c r="A450" t="s">
        <v>1643</v>
      </c>
      <c r="B450" t="s">
        <v>293</v>
      </c>
      <c r="C450" t="s">
        <v>32</v>
      </c>
      <c r="D450" t="s">
        <v>1699</v>
      </c>
      <c r="F450" t="s">
        <v>32</v>
      </c>
      <c r="G450" t="s">
        <v>26</v>
      </c>
      <c r="H450" t="s">
        <v>280</v>
      </c>
      <c r="I450" t="s">
        <v>281</v>
      </c>
      <c r="J450" t="s">
        <v>274</v>
      </c>
      <c r="K450" t="s">
        <v>63</v>
      </c>
      <c r="L450" t="s">
        <v>64</v>
      </c>
      <c r="M450" t="s">
        <v>1700</v>
      </c>
      <c r="N450" t="s">
        <v>65</v>
      </c>
      <c r="O450" t="s">
        <v>66</v>
      </c>
      <c r="P450" t="s">
        <v>32</v>
      </c>
      <c r="Q450" t="s">
        <v>1701</v>
      </c>
      <c r="R450" s="3" t="s">
        <v>32</v>
      </c>
      <c r="S450" t="s">
        <v>32</v>
      </c>
      <c r="T450" s="1">
        <v>45460.499467592592</v>
      </c>
      <c r="U450" s="1">
        <v>45470.709039351852</v>
      </c>
      <c r="V450" s="2" t="s">
        <v>1702</v>
      </c>
    </row>
    <row r="451" spans="1:22" hidden="1" x14ac:dyDescent="0.45">
      <c r="A451" t="s">
        <v>1643</v>
      </c>
      <c r="B451" t="s">
        <v>1663</v>
      </c>
      <c r="C451" t="s">
        <v>32</v>
      </c>
      <c r="D451" t="s">
        <v>1703</v>
      </c>
      <c r="F451" t="s">
        <v>32</v>
      </c>
      <c r="G451" t="s">
        <v>26</v>
      </c>
      <c r="H451" t="s">
        <v>32</v>
      </c>
      <c r="I451" t="s">
        <v>32</v>
      </c>
      <c r="J451" t="s">
        <v>301</v>
      </c>
      <c r="K451" t="s">
        <v>63</v>
      </c>
      <c r="L451" t="s">
        <v>1665</v>
      </c>
      <c r="M451" t="s">
        <v>1666</v>
      </c>
      <c r="N451" t="s">
        <v>32</v>
      </c>
      <c r="O451" t="s">
        <v>32</v>
      </c>
      <c r="P451" t="s">
        <v>32</v>
      </c>
      <c r="Q451" t="s">
        <v>1704</v>
      </c>
      <c r="R451" s="3" t="s">
        <v>32</v>
      </c>
      <c r="S451" t="s">
        <v>32</v>
      </c>
      <c r="T451" s="1">
        <v>45481.53869212963</v>
      </c>
      <c r="U451" s="1">
        <v>45483.536736111113</v>
      </c>
      <c r="V451" s="2" t="s">
        <v>1705</v>
      </c>
    </row>
    <row r="452" spans="1:22" hidden="1" x14ac:dyDescent="0.45">
      <c r="A452" t="s">
        <v>1643</v>
      </c>
      <c r="B452" t="s">
        <v>1681</v>
      </c>
      <c r="C452" t="s">
        <v>32</v>
      </c>
      <c r="D452" t="s">
        <v>1706</v>
      </c>
      <c r="F452" t="s">
        <v>32</v>
      </c>
      <c r="G452" t="s">
        <v>32</v>
      </c>
      <c r="H452" t="s">
        <v>32</v>
      </c>
      <c r="I452" t="s">
        <v>32</v>
      </c>
      <c r="J452" t="s">
        <v>301</v>
      </c>
      <c r="K452" t="s">
        <v>63</v>
      </c>
      <c r="L452" t="s">
        <v>1683</v>
      </c>
      <c r="M452" t="s">
        <v>1684</v>
      </c>
      <c r="N452" t="s">
        <v>32</v>
      </c>
      <c r="O452" t="s">
        <v>32</v>
      </c>
      <c r="P452" t="s">
        <v>32</v>
      </c>
      <c r="Q452" t="s">
        <v>1707</v>
      </c>
      <c r="R452" s="3" t="s">
        <v>32</v>
      </c>
      <c r="S452" t="s">
        <v>32</v>
      </c>
      <c r="T452" s="1">
        <v>45470.465925925928</v>
      </c>
      <c r="U452" s="1">
        <v>45470.709178240744</v>
      </c>
      <c r="V452" s="2" t="s">
        <v>1708</v>
      </c>
    </row>
    <row r="453" spans="1:22" hidden="1" x14ac:dyDescent="0.45">
      <c r="A453" t="s">
        <v>1643</v>
      </c>
      <c r="B453" t="s">
        <v>1644</v>
      </c>
      <c r="C453" t="s">
        <v>32</v>
      </c>
      <c r="D453" t="s">
        <v>1709</v>
      </c>
      <c r="F453" t="s">
        <v>32</v>
      </c>
      <c r="G453" t="s">
        <v>26</v>
      </c>
      <c r="H453" t="s">
        <v>32</v>
      </c>
      <c r="I453" t="s">
        <v>32</v>
      </c>
      <c r="J453" t="s">
        <v>301</v>
      </c>
      <c r="K453" t="s">
        <v>63</v>
      </c>
      <c r="L453" t="s">
        <v>1646</v>
      </c>
      <c r="M453" t="s">
        <v>1647</v>
      </c>
      <c r="N453" t="s">
        <v>32</v>
      </c>
      <c r="O453" t="s">
        <v>32</v>
      </c>
      <c r="P453" t="s">
        <v>32</v>
      </c>
      <c r="Q453" t="s">
        <v>1710</v>
      </c>
      <c r="R453" s="3" t="s">
        <v>32</v>
      </c>
      <c r="S453" t="s">
        <v>32</v>
      </c>
      <c r="T453" s="1">
        <v>45554.489201388889</v>
      </c>
      <c r="U453" s="1">
        <v>45559.751516203702</v>
      </c>
      <c r="V453" s="2" t="s">
        <v>1711</v>
      </c>
    </row>
    <row r="454" spans="1:22" hidden="1" x14ac:dyDescent="0.45">
      <c r="A454" t="s">
        <v>1643</v>
      </c>
      <c r="B454" t="s">
        <v>284</v>
      </c>
      <c r="C454" t="s">
        <v>32</v>
      </c>
      <c r="D454" t="s">
        <v>1712</v>
      </c>
      <c r="F454" t="s">
        <v>32</v>
      </c>
      <c r="G454" t="s">
        <v>188</v>
      </c>
      <c r="H454" t="s">
        <v>189</v>
      </c>
      <c r="I454" t="s">
        <v>287</v>
      </c>
      <c r="J454" t="s">
        <v>274</v>
      </c>
      <c r="K454" t="s">
        <v>63</v>
      </c>
      <c r="L454" t="s">
        <v>288</v>
      </c>
      <c r="M454" t="s">
        <v>32</v>
      </c>
      <c r="N454" t="s">
        <v>1657</v>
      </c>
      <c r="O454" t="s">
        <v>290</v>
      </c>
      <c r="P454" t="s">
        <v>32</v>
      </c>
      <c r="Q454" t="s">
        <v>1713</v>
      </c>
      <c r="R454" s="3" t="s">
        <v>32</v>
      </c>
      <c r="S454" t="s">
        <v>32</v>
      </c>
      <c r="T454" s="1">
        <v>45477.53979166667</v>
      </c>
      <c r="U454" s="1">
        <v>45483.536157407405</v>
      </c>
      <c r="V454" s="2" t="s">
        <v>1714</v>
      </c>
    </row>
    <row r="455" spans="1:22" hidden="1" x14ac:dyDescent="0.45">
      <c r="A455" t="s">
        <v>1643</v>
      </c>
      <c r="B455" t="s">
        <v>293</v>
      </c>
      <c r="C455" t="s">
        <v>32</v>
      </c>
      <c r="D455" t="s">
        <v>1715</v>
      </c>
      <c r="F455" t="s">
        <v>32</v>
      </c>
      <c r="G455" t="s">
        <v>26</v>
      </c>
      <c r="H455" t="s">
        <v>280</v>
      </c>
      <c r="I455" t="s">
        <v>281</v>
      </c>
      <c r="J455" t="s">
        <v>274</v>
      </c>
      <c r="K455" t="s">
        <v>63</v>
      </c>
      <c r="L455" t="s">
        <v>64</v>
      </c>
      <c r="M455" t="s">
        <v>1700</v>
      </c>
      <c r="N455" t="s">
        <v>65</v>
      </c>
      <c r="O455" t="s">
        <v>66</v>
      </c>
      <c r="P455" t="s">
        <v>32</v>
      </c>
      <c r="Q455" t="s">
        <v>1716</v>
      </c>
      <c r="R455" s="3" t="s">
        <v>32</v>
      </c>
      <c r="S455" t="s">
        <v>32</v>
      </c>
      <c r="T455" s="1">
        <v>45460.637962962966</v>
      </c>
      <c r="U455" s="1">
        <v>45470.708657407406</v>
      </c>
      <c r="V455" s="2" t="s">
        <v>1717</v>
      </c>
    </row>
    <row r="456" spans="1:22" hidden="1" x14ac:dyDescent="0.45">
      <c r="A456" t="s">
        <v>1643</v>
      </c>
      <c r="B456" t="s">
        <v>334</v>
      </c>
      <c r="C456" t="s">
        <v>32</v>
      </c>
      <c r="D456" t="s">
        <v>1718</v>
      </c>
      <c r="F456" t="s">
        <v>32</v>
      </c>
      <c r="G456" t="s">
        <v>26</v>
      </c>
      <c r="H456" t="s">
        <v>27</v>
      </c>
      <c r="I456" t="s">
        <v>28</v>
      </c>
      <c r="J456" t="s">
        <v>336</v>
      </c>
      <c r="K456" t="s">
        <v>337</v>
      </c>
      <c r="L456" t="s">
        <v>64</v>
      </c>
      <c r="M456" t="s">
        <v>1719</v>
      </c>
      <c r="N456" t="s">
        <v>32</v>
      </c>
      <c r="O456" t="s">
        <v>32</v>
      </c>
      <c r="P456" t="s">
        <v>32</v>
      </c>
      <c r="Q456" t="s">
        <v>1720</v>
      </c>
      <c r="R456" s="3" t="s">
        <v>32</v>
      </c>
      <c r="S456" t="s">
        <v>32</v>
      </c>
      <c r="T456" s="1">
        <v>45524.466053240743</v>
      </c>
      <c r="U456" s="1">
        <v>45524.487430555557</v>
      </c>
      <c r="V456" s="2" t="s">
        <v>1721</v>
      </c>
    </row>
    <row r="457" spans="1:22" hidden="1" x14ac:dyDescent="0.45">
      <c r="A457" t="s">
        <v>1643</v>
      </c>
      <c r="B457" t="s">
        <v>1644</v>
      </c>
      <c r="C457" t="s">
        <v>32</v>
      </c>
      <c r="D457" t="s">
        <v>1722</v>
      </c>
      <c r="F457" t="s">
        <v>32</v>
      </c>
      <c r="G457" t="s">
        <v>26</v>
      </c>
      <c r="H457" t="s">
        <v>32</v>
      </c>
      <c r="I457" t="s">
        <v>32</v>
      </c>
      <c r="J457" t="s">
        <v>301</v>
      </c>
      <c r="K457" t="s">
        <v>63</v>
      </c>
      <c r="L457" t="s">
        <v>1646</v>
      </c>
      <c r="M457" t="s">
        <v>1647</v>
      </c>
      <c r="N457" t="s">
        <v>32</v>
      </c>
      <c r="O457" t="s">
        <v>32</v>
      </c>
      <c r="P457" t="s">
        <v>32</v>
      </c>
      <c r="Q457" t="s">
        <v>1723</v>
      </c>
      <c r="R457" s="3" t="s">
        <v>32</v>
      </c>
      <c r="S457" t="s">
        <v>32</v>
      </c>
      <c r="T457" s="1">
        <v>45470.506018518521</v>
      </c>
      <c r="U457" s="1">
        <v>45470.708368055559</v>
      </c>
      <c r="V457" s="2" t="s">
        <v>1724</v>
      </c>
    </row>
    <row r="458" spans="1:22" hidden="1" x14ac:dyDescent="0.45">
      <c r="A458" t="s">
        <v>1643</v>
      </c>
      <c r="B458" t="s">
        <v>309</v>
      </c>
      <c r="C458" t="s">
        <v>32</v>
      </c>
      <c r="D458" t="s">
        <v>1725</v>
      </c>
      <c r="F458" t="s">
        <v>32</v>
      </c>
      <c r="G458" t="s">
        <v>188</v>
      </c>
      <c r="H458" t="s">
        <v>312</v>
      </c>
      <c r="I458" t="s">
        <v>313</v>
      </c>
      <c r="J458" t="s">
        <v>1726</v>
      </c>
      <c r="K458" t="s">
        <v>30</v>
      </c>
      <c r="L458" t="s">
        <v>331</v>
      </c>
      <c r="M458" t="s">
        <v>32</v>
      </c>
      <c r="N458" t="s">
        <v>32</v>
      </c>
      <c r="O458" t="s">
        <v>32</v>
      </c>
      <c r="P458" t="s">
        <v>32</v>
      </c>
      <c r="Q458" t="s">
        <v>1727</v>
      </c>
      <c r="R458" s="3" t="s">
        <v>32</v>
      </c>
      <c r="S458" t="s">
        <v>32</v>
      </c>
      <c r="T458" s="1">
        <v>45460.540092592593</v>
      </c>
      <c r="U458" s="1">
        <v>45470.709108796298</v>
      </c>
      <c r="V458" s="2" t="s">
        <v>1728</v>
      </c>
    </row>
    <row r="459" spans="1:22" hidden="1" x14ac:dyDescent="0.45">
      <c r="A459" t="s">
        <v>1643</v>
      </c>
      <c r="B459" t="s">
        <v>345</v>
      </c>
      <c r="C459" t="s">
        <v>32</v>
      </c>
      <c r="D459" t="s">
        <v>1729</v>
      </c>
      <c r="F459" t="s">
        <v>32</v>
      </c>
      <c r="G459" t="s">
        <v>26</v>
      </c>
      <c r="H459" t="s">
        <v>27</v>
      </c>
      <c r="I459" t="s">
        <v>28</v>
      </c>
      <c r="J459" t="s">
        <v>336</v>
      </c>
      <c r="K459" t="s">
        <v>337</v>
      </c>
      <c r="L459" t="s">
        <v>1652</v>
      </c>
      <c r="M459" t="s">
        <v>1653</v>
      </c>
      <c r="N459" t="s">
        <v>32</v>
      </c>
      <c r="O459" t="s">
        <v>32</v>
      </c>
      <c r="P459" t="s">
        <v>32</v>
      </c>
      <c r="Q459" t="s">
        <v>1730</v>
      </c>
      <c r="R459" s="3" t="s">
        <v>32</v>
      </c>
      <c r="S459" t="s">
        <v>32</v>
      </c>
      <c r="T459" s="1">
        <v>45512.472673611112</v>
      </c>
      <c r="U459" s="1">
        <v>45512.495439814818</v>
      </c>
      <c r="V459" s="2" t="s">
        <v>1731</v>
      </c>
    </row>
    <row r="460" spans="1:22" hidden="1" x14ac:dyDescent="0.45">
      <c r="A460" t="s">
        <v>1643</v>
      </c>
      <c r="B460" t="s">
        <v>593</v>
      </c>
      <c r="C460" t="s">
        <v>32</v>
      </c>
      <c r="D460" t="s">
        <v>595</v>
      </c>
      <c r="F460" t="s">
        <v>32</v>
      </c>
      <c r="G460" t="s">
        <v>26</v>
      </c>
      <c r="H460" t="s">
        <v>280</v>
      </c>
      <c r="I460" t="s">
        <v>281</v>
      </c>
      <c r="J460" t="s">
        <v>1732</v>
      </c>
      <c r="K460" t="s">
        <v>63</v>
      </c>
      <c r="L460" t="s">
        <v>64</v>
      </c>
      <c r="M460" t="s">
        <v>1733</v>
      </c>
      <c r="N460" t="s">
        <v>65</v>
      </c>
      <c r="O460" t="s">
        <v>66</v>
      </c>
      <c r="P460" t="s">
        <v>32</v>
      </c>
      <c r="Q460" t="s">
        <v>1734</v>
      </c>
      <c r="R460" s="3" t="s">
        <v>32</v>
      </c>
      <c r="S460" t="s">
        <v>32</v>
      </c>
      <c r="T460" s="1">
        <v>45470.494074074071</v>
      </c>
      <c r="U460" s="1">
        <v>45470.709247685183</v>
      </c>
      <c r="V460" s="2" t="s">
        <v>1735</v>
      </c>
    </row>
    <row r="461" spans="1:22" hidden="1" x14ac:dyDescent="0.45">
      <c r="A461" t="s">
        <v>1643</v>
      </c>
      <c r="B461" t="s">
        <v>284</v>
      </c>
      <c r="C461" t="s">
        <v>32</v>
      </c>
      <c r="D461" t="s">
        <v>1736</v>
      </c>
      <c r="F461" t="s">
        <v>32</v>
      </c>
      <c r="G461" t="s">
        <v>188</v>
      </c>
      <c r="H461" t="s">
        <v>189</v>
      </c>
      <c r="I461" t="s">
        <v>287</v>
      </c>
      <c r="J461" t="s">
        <v>274</v>
      </c>
      <c r="K461" t="s">
        <v>63</v>
      </c>
      <c r="L461" t="s">
        <v>288</v>
      </c>
      <c r="M461" t="s">
        <v>32</v>
      </c>
      <c r="N461" t="s">
        <v>1657</v>
      </c>
      <c r="O461" t="s">
        <v>290</v>
      </c>
      <c r="P461" t="s">
        <v>32</v>
      </c>
      <c r="Q461" t="s">
        <v>1737</v>
      </c>
      <c r="R461" s="3" t="s">
        <v>32</v>
      </c>
      <c r="S461" t="s">
        <v>32</v>
      </c>
      <c r="T461" s="1">
        <v>45554.490937499999</v>
      </c>
      <c r="U461" s="1">
        <v>45559.751585648148</v>
      </c>
      <c r="V461" s="2" t="s">
        <v>1738</v>
      </c>
    </row>
    <row r="462" spans="1:22" hidden="1" x14ac:dyDescent="0.45">
      <c r="A462" t="s">
        <v>1643</v>
      </c>
      <c r="B462" t="s">
        <v>345</v>
      </c>
      <c r="C462" t="s">
        <v>32</v>
      </c>
      <c r="D462" t="s">
        <v>347</v>
      </c>
      <c r="F462" t="s">
        <v>32</v>
      </c>
      <c r="G462" t="s">
        <v>26</v>
      </c>
      <c r="H462" t="s">
        <v>27</v>
      </c>
      <c r="I462" t="s">
        <v>28</v>
      </c>
      <c r="J462" t="s">
        <v>1651</v>
      </c>
      <c r="K462" t="s">
        <v>337</v>
      </c>
      <c r="L462" t="s">
        <v>1652</v>
      </c>
      <c r="M462" t="s">
        <v>1653</v>
      </c>
      <c r="N462" t="s">
        <v>32</v>
      </c>
      <c r="O462" t="s">
        <v>32</v>
      </c>
      <c r="P462" t="s">
        <v>32</v>
      </c>
      <c r="Q462" t="s">
        <v>1739</v>
      </c>
      <c r="R462" s="3" t="s">
        <v>32</v>
      </c>
      <c r="S462" t="s">
        <v>32</v>
      </c>
      <c r="T462" s="1">
        <v>45477.58966435185</v>
      </c>
      <c r="U462" s="1">
        <v>45483.536296296297</v>
      </c>
      <c r="V462" s="2" t="s">
        <v>1740</v>
      </c>
    </row>
    <row r="463" spans="1:22" hidden="1" x14ac:dyDescent="0.45">
      <c r="A463" t="s">
        <v>1643</v>
      </c>
      <c r="B463" t="s">
        <v>309</v>
      </c>
      <c r="C463" t="s">
        <v>32</v>
      </c>
      <c r="D463" t="s">
        <v>1741</v>
      </c>
      <c r="F463" t="s">
        <v>32</v>
      </c>
      <c r="G463" t="s">
        <v>188</v>
      </c>
      <c r="H463" t="s">
        <v>312</v>
      </c>
      <c r="I463" t="s">
        <v>313</v>
      </c>
      <c r="J463" t="s">
        <v>1726</v>
      </c>
      <c r="K463" t="s">
        <v>30</v>
      </c>
      <c r="L463" t="s">
        <v>331</v>
      </c>
      <c r="M463" t="s">
        <v>32</v>
      </c>
      <c r="N463" t="s">
        <v>32</v>
      </c>
      <c r="O463" t="s">
        <v>32</v>
      </c>
      <c r="P463" t="s">
        <v>32</v>
      </c>
      <c r="Q463" t="s">
        <v>1742</v>
      </c>
      <c r="R463" s="3" t="s">
        <v>32</v>
      </c>
      <c r="S463" t="s">
        <v>32</v>
      </c>
      <c r="T463" s="1">
        <v>45460.638807870368</v>
      </c>
      <c r="U463" s="1">
        <v>45470.708749999998</v>
      </c>
      <c r="V463" s="2" t="s">
        <v>1743</v>
      </c>
    </row>
    <row r="464" spans="1:22" hidden="1" x14ac:dyDescent="0.45">
      <c r="A464" t="s">
        <v>1643</v>
      </c>
      <c r="B464" t="s">
        <v>334</v>
      </c>
      <c r="C464" t="s">
        <v>32</v>
      </c>
      <c r="D464" t="s">
        <v>1744</v>
      </c>
      <c r="F464" t="s">
        <v>32</v>
      </c>
      <c r="G464" t="s">
        <v>26</v>
      </c>
      <c r="H464" t="s">
        <v>27</v>
      </c>
      <c r="I464" t="s">
        <v>28</v>
      </c>
      <c r="J464" t="s">
        <v>336</v>
      </c>
      <c r="K464" t="s">
        <v>337</v>
      </c>
      <c r="L464" t="s">
        <v>64</v>
      </c>
      <c r="M464" t="s">
        <v>1719</v>
      </c>
      <c r="N464" t="s">
        <v>32</v>
      </c>
      <c r="O464" t="s">
        <v>32</v>
      </c>
      <c r="P464" t="s">
        <v>32</v>
      </c>
      <c r="Q464" t="s">
        <v>1745</v>
      </c>
      <c r="R464" s="3" t="s">
        <v>32</v>
      </c>
      <c r="S464" t="s">
        <v>32</v>
      </c>
      <c r="T464" s="1">
        <v>45524.466157407405</v>
      </c>
      <c r="U464" s="1">
        <v>45524.487557870372</v>
      </c>
      <c r="V464" s="2" t="s">
        <v>1746</v>
      </c>
    </row>
    <row r="465" spans="1:22" hidden="1" x14ac:dyDescent="0.45">
      <c r="A465" t="s">
        <v>1643</v>
      </c>
      <c r="B465" t="s">
        <v>277</v>
      </c>
      <c r="C465" t="s">
        <v>32</v>
      </c>
      <c r="D465" t="s">
        <v>277</v>
      </c>
      <c r="F465" t="s">
        <v>32</v>
      </c>
      <c r="G465" t="s">
        <v>26</v>
      </c>
      <c r="H465" t="s">
        <v>280</v>
      </c>
      <c r="I465" t="s">
        <v>281</v>
      </c>
      <c r="J465" t="s">
        <v>274</v>
      </c>
      <c r="K465" t="s">
        <v>63</v>
      </c>
      <c r="L465" t="s">
        <v>64</v>
      </c>
      <c r="M465" t="s">
        <v>1747</v>
      </c>
      <c r="N465" t="s">
        <v>1748</v>
      </c>
      <c r="O465" t="s">
        <v>66</v>
      </c>
      <c r="P465" t="s">
        <v>32</v>
      </c>
      <c r="Q465" t="s">
        <v>1749</v>
      </c>
      <c r="R465" s="3" t="s">
        <v>32</v>
      </c>
      <c r="S465" t="s">
        <v>32</v>
      </c>
      <c r="T465" s="1">
        <v>45470.514467592591</v>
      </c>
      <c r="U465" s="1">
        <v>45470.708437499998</v>
      </c>
      <c r="V465" s="2" t="s">
        <v>1750</v>
      </c>
    </row>
    <row r="466" spans="1:22" hidden="1" x14ac:dyDescent="0.45">
      <c r="A466" t="s">
        <v>1643</v>
      </c>
      <c r="B466" t="s">
        <v>298</v>
      </c>
      <c r="C466" t="s">
        <v>32</v>
      </c>
      <c r="D466" t="s">
        <v>1751</v>
      </c>
      <c r="F466" t="s">
        <v>32</v>
      </c>
      <c r="G466" t="s">
        <v>188</v>
      </c>
      <c r="H466" t="s">
        <v>1752</v>
      </c>
      <c r="I466" t="s">
        <v>190</v>
      </c>
      <c r="J466" t="s">
        <v>301</v>
      </c>
      <c r="K466" t="s">
        <v>30</v>
      </c>
      <c r="L466" t="s">
        <v>302</v>
      </c>
      <c r="M466" t="s">
        <v>32</v>
      </c>
      <c r="N466" t="s">
        <v>32</v>
      </c>
      <c r="O466" t="s">
        <v>32</v>
      </c>
      <c r="P466" t="s">
        <v>32</v>
      </c>
      <c r="Q466" t="s">
        <v>1753</v>
      </c>
      <c r="R466" s="3" t="s">
        <v>32</v>
      </c>
      <c r="S466" t="s">
        <v>32</v>
      </c>
      <c r="T466" s="1">
        <v>45460.621782407405</v>
      </c>
      <c r="U466" s="1">
        <v>45470.709479166668</v>
      </c>
      <c r="V466" s="2" t="s">
        <v>1754</v>
      </c>
    </row>
    <row r="467" spans="1:22" hidden="1" x14ac:dyDescent="0.45">
      <c r="A467" t="s">
        <v>1643</v>
      </c>
      <c r="B467" t="s">
        <v>284</v>
      </c>
      <c r="C467" t="s">
        <v>32</v>
      </c>
      <c r="D467" t="s">
        <v>1755</v>
      </c>
      <c r="F467" t="s">
        <v>32</v>
      </c>
      <c r="G467" t="s">
        <v>188</v>
      </c>
      <c r="H467" t="s">
        <v>189</v>
      </c>
      <c r="I467" t="s">
        <v>287</v>
      </c>
      <c r="J467" t="s">
        <v>274</v>
      </c>
      <c r="K467" t="s">
        <v>63</v>
      </c>
      <c r="L467" t="s">
        <v>288</v>
      </c>
      <c r="M467" t="s">
        <v>32</v>
      </c>
      <c r="N467" t="s">
        <v>1657</v>
      </c>
      <c r="O467" t="s">
        <v>290</v>
      </c>
      <c r="P467" t="s">
        <v>32</v>
      </c>
      <c r="Q467" t="s">
        <v>1756</v>
      </c>
      <c r="R467" s="3" t="s">
        <v>32</v>
      </c>
      <c r="S467" t="s">
        <v>32</v>
      </c>
      <c r="T467" s="1">
        <v>45512.486030092594</v>
      </c>
      <c r="U467" s="1">
        <v>45512.495509259257</v>
      </c>
      <c r="V467" s="2" t="s">
        <v>1757</v>
      </c>
    </row>
    <row r="468" spans="1:22" hidden="1" x14ac:dyDescent="0.45">
      <c r="A468" t="s">
        <v>1643</v>
      </c>
      <c r="B468" t="s">
        <v>284</v>
      </c>
      <c r="C468" t="s">
        <v>32</v>
      </c>
      <c r="D468" t="s">
        <v>1758</v>
      </c>
      <c r="F468" t="s">
        <v>32</v>
      </c>
      <c r="G468" t="s">
        <v>188</v>
      </c>
      <c r="H468" t="s">
        <v>189</v>
      </c>
      <c r="I468" t="s">
        <v>287</v>
      </c>
      <c r="J468" t="s">
        <v>274</v>
      </c>
      <c r="K468" t="s">
        <v>63</v>
      </c>
      <c r="L468" t="s">
        <v>288</v>
      </c>
      <c r="M468" t="s">
        <v>32</v>
      </c>
      <c r="N468" t="s">
        <v>1657</v>
      </c>
      <c r="O468" t="s">
        <v>290</v>
      </c>
      <c r="P468" t="s">
        <v>32</v>
      </c>
      <c r="Q468" t="s">
        <v>1759</v>
      </c>
      <c r="R468" s="3" t="s">
        <v>32</v>
      </c>
      <c r="S468" t="s">
        <v>32</v>
      </c>
      <c r="T468" s="1">
        <v>45470.497546296298</v>
      </c>
      <c r="U468" s="1">
        <v>45470.709328703706</v>
      </c>
      <c r="V468" s="2" t="s">
        <v>1760</v>
      </c>
    </row>
    <row r="469" spans="1:22" hidden="1" x14ac:dyDescent="0.45">
      <c r="A469" t="s">
        <v>1643</v>
      </c>
      <c r="B469" t="s">
        <v>293</v>
      </c>
      <c r="C469" t="s">
        <v>32</v>
      </c>
      <c r="D469" t="s">
        <v>1761</v>
      </c>
      <c r="F469" t="s">
        <v>32</v>
      </c>
      <c r="G469" t="s">
        <v>26</v>
      </c>
      <c r="H469" t="s">
        <v>280</v>
      </c>
      <c r="I469" t="s">
        <v>281</v>
      </c>
      <c r="J469" t="s">
        <v>274</v>
      </c>
      <c r="K469" t="s">
        <v>63</v>
      </c>
      <c r="L469" t="s">
        <v>64</v>
      </c>
      <c r="M469" t="s">
        <v>1700</v>
      </c>
      <c r="N469" t="s">
        <v>65</v>
      </c>
      <c r="O469" t="s">
        <v>66</v>
      </c>
      <c r="P469" t="s">
        <v>32</v>
      </c>
      <c r="Q469" t="s">
        <v>1762</v>
      </c>
      <c r="R469" s="3" t="s">
        <v>32</v>
      </c>
      <c r="S469" t="s">
        <v>32</v>
      </c>
      <c r="T469" s="1">
        <v>45554.49391203704</v>
      </c>
      <c r="U469" s="1">
        <v>45559.751666666663</v>
      </c>
      <c r="V469" s="2" t="s">
        <v>1763</v>
      </c>
    </row>
    <row r="470" spans="1:22" hidden="1" x14ac:dyDescent="0.45">
      <c r="A470" t="s">
        <v>1643</v>
      </c>
      <c r="B470" t="s">
        <v>334</v>
      </c>
      <c r="C470" t="s">
        <v>32</v>
      </c>
      <c r="D470" t="s">
        <v>334</v>
      </c>
      <c r="F470" t="s">
        <v>32</v>
      </c>
      <c r="G470" t="s">
        <v>26</v>
      </c>
      <c r="H470" t="s">
        <v>27</v>
      </c>
      <c r="I470" t="s">
        <v>28</v>
      </c>
      <c r="J470" t="s">
        <v>336</v>
      </c>
      <c r="K470" t="s">
        <v>337</v>
      </c>
      <c r="L470" t="s">
        <v>64</v>
      </c>
      <c r="M470" t="s">
        <v>1719</v>
      </c>
      <c r="N470" t="s">
        <v>32</v>
      </c>
      <c r="O470" t="s">
        <v>32</v>
      </c>
      <c r="P470" t="s">
        <v>32</v>
      </c>
      <c r="Q470" t="s">
        <v>1764</v>
      </c>
      <c r="R470" s="3" t="s">
        <v>32</v>
      </c>
      <c r="S470" t="s">
        <v>32</v>
      </c>
      <c r="T470" s="1">
        <v>45477.590682870374</v>
      </c>
      <c r="U470" s="1">
        <v>45483.536354166667</v>
      </c>
      <c r="V470" s="2" t="s">
        <v>1765</v>
      </c>
    </row>
    <row r="471" spans="1:22" hidden="1" x14ac:dyDescent="0.45">
      <c r="A471" t="s">
        <v>1643</v>
      </c>
      <c r="B471" t="s">
        <v>298</v>
      </c>
      <c r="C471" t="s">
        <v>32</v>
      </c>
      <c r="D471" t="s">
        <v>1766</v>
      </c>
      <c r="F471" t="s">
        <v>32</v>
      </c>
      <c r="G471" t="s">
        <v>188</v>
      </c>
      <c r="H471" t="s">
        <v>1752</v>
      </c>
      <c r="I471" t="s">
        <v>190</v>
      </c>
      <c r="J471" t="s">
        <v>301</v>
      </c>
      <c r="K471" t="s">
        <v>30</v>
      </c>
      <c r="L471" t="s">
        <v>302</v>
      </c>
      <c r="M471" t="s">
        <v>32</v>
      </c>
      <c r="N471" t="s">
        <v>32</v>
      </c>
      <c r="O471" t="s">
        <v>32</v>
      </c>
      <c r="P471" t="s">
        <v>32</v>
      </c>
      <c r="Q471" t="s">
        <v>1767</v>
      </c>
      <c r="R471" s="3" t="s">
        <v>32</v>
      </c>
      <c r="S471" t="s">
        <v>32</v>
      </c>
      <c r="T471" s="1">
        <v>45460.639351851853</v>
      </c>
      <c r="U471" s="1">
        <v>45470.708819444444</v>
      </c>
      <c r="V471" s="2" t="s">
        <v>1768</v>
      </c>
    </row>
    <row r="472" spans="1:22" hidden="1" x14ac:dyDescent="0.45">
      <c r="A472" t="s">
        <v>1643</v>
      </c>
      <c r="B472" t="s">
        <v>345</v>
      </c>
      <c r="C472" t="s">
        <v>32</v>
      </c>
      <c r="D472" t="s">
        <v>1769</v>
      </c>
      <c r="F472" t="s">
        <v>32</v>
      </c>
      <c r="G472" t="s">
        <v>26</v>
      </c>
      <c r="H472" t="s">
        <v>27</v>
      </c>
      <c r="I472" t="s">
        <v>28</v>
      </c>
      <c r="J472" t="s">
        <v>1651</v>
      </c>
      <c r="K472" t="s">
        <v>337</v>
      </c>
      <c r="L472" t="s">
        <v>1652</v>
      </c>
      <c r="M472" t="s">
        <v>1653</v>
      </c>
      <c r="N472" t="s">
        <v>32</v>
      </c>
      <c r="O472" t="s">
        <v>32</v>
      </c>
      <c r="P472" t="s">
        <v>32</v>
      </c>
      <c r="Q472" t="s">
        <v>1770</v>
      </c>
      <c r="R472" s="3" t="s">
        <v>32</v>
      </c>
      <c r="S472" t="s">
        <v>32</v>
      </c>
      <c r="T472" s="1">
        <v>45524.47315972222</v>
      </c>
      <c r="U472" s="1">
        <v>45524.48814814815</v>
      </c>
      <c r="V472" s="2" t="s">
        <v>1771</v>
      </c>
    </row>
    <row r="473" spans="1:22" hidden="1" x14ac:dyDescent="0.45">
      <c r="A473" t="s">
        <v>1643</v>
      </c>
      <c r="B473" t="s">
        <v>284</v>
      </c>
      <c r="C473" t="s">
        <v>32</v>
      </c>
      <c r="D473" t="s">
        <v>1772</v>
      </c>
      <c r="F473" t="s">
        <v>32</v>
      </c>
      <c r="G473" t="s">
        <v>188</v>
      </c>
      <c r="H473" t="s">
        <v>189</v>
      </c>
      <c r="I473" t="s">
        <v>287</v>
      </c>
      <c r="J473" t="s">
        <v>274</v>
      </c>
      <c r="K473" t="s">
        <v>63</v>
      </c>
      <c r="L473" t="s">
        <v>288</v>
      </c>
      <c r="M473" t="s">
        <v>32</v>
      </c>
      <c r="N473" t="s">
        <v>1657</v>
      </c>
      <c r="O473" t="s">
        <v>290</v>
      </c>
      <c r="P473" t="s">
        <v>32</v>
      </c>
      <c r="Q473" t="s">
        <v>1773</v>
      </c>
      <c r="R473" s="3" t="s">
        <v>32</v>
      </c>
      <c r="S473" t="s">
        <v>32</v>
      </c>
      <c r="T473" s="1">
        <v>45477.53702546296</v>
      </c>
      <c r="U473" s="1">
        <v>45483.536828703705</v>
      </c>
      <c r="V473" s="2" t="s">
        <v>1774</v>
      </c>
    </row>
    <row r="474" spans="1:22" hidden="1" x14ac:dyDescent="0.45">
      <c r="A474" t="s">
        <v>1643</v>
      </c>
      <c r="B474" t="s">
        <v>59</v>
      </c>
      <c r="C474" t="s">
        <v>32</v>
      </c>
      <c r="D474" t="s">
        <v>1775</v>
      </c>
      <c r="F474" t="s">
        <v>32</v>
      </c>
      <c r="G474" t="s">
        <v>26</v>
      </c>
      <c r="H474" t="s">
        <v>62</v>
      </c>
      <c r="I474" t="s">
        <v>28</v>
      </c>
      <c r="J474" t="s">
        <v>274</v>
      </c>
      <c r="K474" t="s">
        <v>63</v>
      </c>
      <c r="L474" t="s">
        <v>64</v>
      </c>
      <c r="M474" t="s">
        <v>32</v>
      </c>
      <c r="N474" t="s">
        <v>65</v>
      </c>
      <c r="O474" t="s">
        <v>66</v>
      </c>
      <c r="P474" t="s">
        <v>32</v>
      </c>
      <c r="Q474" t="s">
        <v>1776</v>
      </c>
      <c r="R474" s="3" t="s">
        <v>32</v>
      </c>
      <c r="S474" t="s">
        <v>32</v>
      </c>
      <c r="T474" s="1">
        <v>45460.627129629633</v>
      </c>
      <c r="U474" s="1">
        <v>45470.709560185183</v>
      </c>
      <c r="V474" s="2" t="s">
        <v>1777</v>
      </c>
    </row>
    <row r="475" spans="1:22" hidden="1" x14ac:dyDescent="0.45">
      <c r="A475" t="s">
        <v>1643</v>
      </c>
      <c r="B475" t="s">
        <v>298</v>
      </c>
      <c r="C475" t="s">
        <v>32</v>
      </c>
      <c r="D475" t="s">
        <v>1778</v>
      </c>
      <c r="F475" t="s">
        <v>32</v>
      </c>
      <c r="G475" t="s">
        <v>188</v>
      </c>
      <c r="H475" t="s">
        <v>1752</v>
      </c>
      <c r="I475" t="s">
        <v>190</v>
      </c>
      <c r="J475" t="s">
        <v>301</v>
      </c>
      <c r="K475" t="s">
        <v>30</v>
      </c>
      <c r="L475" t="s">
        <v>302</v>
      </c>
      <c r="M475" t="s">
        <v>32</v>
      </c>
      <c r="N475" t="s">
        <v>32</v>
      </c>
      <c r="O475" t="s">
        <v>32</v>
      </c>
      <c r="P475" t="s">
        <v>32</v>
      </c>
      <c r="Q475" t="s">
        <v>1779</v>
      </c>
      <c r="R475" s="3" t="s">
        <v>32</v>
      </c>
      <c r="S475" t="s">
        <v>32</v>
      </c>
      <c r="T475" s="1">
        <v>45512.487569444442</v>
      </c>
      <c r="U475" s="1">
        <v>45512.495578703703</v>
      </c>
      <c r="V475" s="2" t="s">
        <v>1780</v>
      </c>
    </row>
    <row r="476" spans="1:22" hidden="1" x14ac:dyDescent="0.45">
      <c r="A476" t="s">
        <v>1643</v>
      </c>
      <c r="B476" t="s">
        <v>1644</v>
      </c>
      <c r="C476" t="s">
        <v>32</v>
      </c>
      <c r="D476" t="s">
        <v>1781</v>
      </c>
      <c r="F476" t="s">
        <v>32</v>
      </c>
      <c r="G476" t="s">
        <v>26</v>
      </c>
      <c r="H476" t="s">
        <v>32</v>
      </c>
      <c r="I476" t="s">
        <v>32</v>
      </c>
      <c r="J476" t="s">
        <v>301</v>
      </c>
      <c r="K476" t="s">
        <v>63</v>
      </c>
      <c r="L476" t="s">
        <v>1646</v>
      </c>
      <c r="M476" t="s">
        <v>1647</v>
      </c>
      <c r="N476" t="s">
        <v>32</v>
      </c>
      <c r="O476" t="s">
        <v>32</v>
      </c>
      <c r="P476" t="s">
        <v>32</v>
      </c>
      <c r="Q476" t="s">
        <v>1782</v>
      </c>
      <c r="R476" s="3" t="s">
        <v>32</v>
      </c>
      <c r="S476" t="s">
        <v>32</v>
      </c>
      <c r="T476" s="1">
        <v>45470.498993055553</v>
      </c>
      <c r="U476" s="1">
        <v>45470.709398148145</v>
      </c>
      <c r="V476" s="2" t="s">
        <v>1783</v>
      </c>
    </row>
    <row r="477" spans="1:22" hidden="1" x14ac:dyDescent="0.45">
      <c r="A477" t="s">
        <v>1643</v>
      </c>
      <c r="B477" t="s">
        <v>1663</v>
      </c>
      <c r="C477" t="s">
        <v>32</v>
      </c>
      <c r="D477" t="s">
        <v>1784</v>
      </c>
      <c r="F477" t="s">
        <v>32</v>
      </c>
      <c r="G477" t="s">
        <v>26</v>
      </c>
      <c r="H477" t="s">
        <v>32</v>
      </c>
      <c r="I477" t="s">
        <v>32</v>
      </c>
      <c r="J477" t="s">
        <v>301</v>
      </c>
      <c r="K477" t="s">
        <v>63</v>
      </c>
      <c r="L477" t="s">
        <v>1665</v>
      </c>
      <c r="M477" t="s">
        <v>1666</v>
      </c>
      <c r="N477" t="s">
        <v>32</v>
      </c>
      <c r="O477" t="s">
        <v>32</v>
      </c>
      <c r="P477" t="s">
        <v>32</v>
      </c>
      <c r="Q477" t="s">
        <v>1785</v>
      </c>
      <c r="R477" s="3" t="s">
        <v>32</v>
      </c>
      <c r="S477" t="s">
        <v>32</v>
      </c>
      <c r="T477" s="1">
        <v>45481.536805555559</v>
      </c>
      <c r="U477" s="1">
        <v>45483.536412037036</v>
      </c>
      <c r="V477" s="2" t="s">
        <v>1786</v>
      </c>
    </row>
    <row r="478" spans="1:22" hidden="1" x14ac:dyDescent="0.45">
      <c r="A478" t="s">
        <v>1643</v>
      </c>
      <c r="B478" t="s">
        <v>1644</v>
      </c>
      <c r="C478" t="s">
        <v>32</v>
      </c>
      <c r="D478" t="s">
        <v>1787</v>
      </c>
      <c r="F478" t="s">
        <v>32</v>
      </c>
      <c r="G478" t="s">
        <v>26</v>
      </c>
      <c r="H478" t="s">
        <v>32</v>
      </c>
      <c r="I478" t="s">
        <v>32</v>
      </c>
      <c r="J478" t="s">
        <v>301</v>
      </c>
      <c r="K478" t="s">
        <v>63</v>
      </c>
      <c r="L478" t="s">
        <v>1646</v>
      </c>
      <c r="M478" t="s">
        <v>1647</v>
      </c>
      <c r="N478" t="s">
        <v>32</v>
      </c>
      <c r="O478" t="s">
        <v>32</v>
      </c>
      <c r="P478" t="s">
        <v>32</v>
      </c>
      <c r="Q478" t="s">
        <v>1788</v>
      </c>
      <c r="R478" s="3" t="s">
        <v>32</v>
      </c>
      <c r="S478" t="s">
        <v>32</v>
      </c>
      <c r="T478" s="1">
        <v>45460.642939814818</v>
      </c>
      <c r="U478" s="1">
        <v>45470.70888888889</v>
      </c>
      <c r="V478" s="2" t="s">
        <v>1789</v>
      </c>
    </row>
    <row r="479" spans="1:22" hidden="1" x14ac:dyDescent="0.45">
      <c r="A479" t="s">
        <v>1643</v>
      </c>
      <c r="B479" t="s">
        <v>1644</v>
      </c>
      <c r="C479" t="s">
        <v>32</v>
      </c>
      <c r="D479" t="s">
        <v>1790</v>
      </c>
      <c r="F479" t="s">
        <v>32</v>
      </c>
      <c r="G479" t="s">
        <v>26</v>
      </c>
      <c r="H479" t="s">
        <v>32</v>
      </c>
      <c r="I479" t="s">
        <v>32</v>
      </c>
      <c r="J479" t="s">
        <v>301</v>
      </c>
      <c r="K479" t="s">
        <v>63</v>
      </c>
      <c r="L479" t="s">
        <v>1646</v>
      </c>
      <c r="M479" t="s">
        <v>1647</v>
      </c>
      <c r="N479" t="s">
        <v>32</v>
      </c>
      <c r="O479" t="s">
        <v>32</v>
      </c>
      <c r="P479" t="s">
        <v>32</v>
      </c>
      <c r="Q479" t="s">
        <v>1791</v>
      </c>
      <c r="R479" s="3" t="s">
        <v>32</v>
      </c>
      <c r="S479" t="s">
        <v>32</v>
      </c>
      <c r="T479" s="1">
        <v>45524.477083333331</v>
      </c>
      <c r="U479" s="1">
        <v>45524.487835648149</v>
      </c>
      <c r="V479" s="2" t="s">
        <v>1792</v>
      </c>
    </row>
    <row r="480" spans="1:22" hidden="1" x14ac:dyDescent="0.45">
      <c r="A480" t="s">
        <v>1643</v>
      </c>
      <c r="B480" t="s">
        <v>284</v>
      </c>
      <c r="C480" t="s">
        <v>32</v>
      </c>
      <c r="D480" t="s">
        <v>1793</v>
      </c>
      <c r="F480" t="s">
        <v>32</v>
      </c>
      <c r="G480" t="s">
        <v>188</v>
      </c>
      <c r="H480" t="s">
        <v>189</v>
      </c>
      <c r="I480" t="s">
        <v>287</v>
      </c>
      <c r="J480" t="s">
        <v>274</v>
      </c>
      <c r="K480" t="s">
        <v>63</v>
      </c>
      <c r="L480" t="s">
        <v>288</v>
      </c>
      <c r="M480" t="s">
        <v>32</v>
      </c>
      <c r="N480" t="s">
        <v>1657</v>
      </c>
      <c r="O480" t="s">
        <v>290</v>
      </c>
      <c r="P480" t="s">
        <v>32</v>
      </c>
      <c r="Q480" t="s">
        <v>1794</v>
      </c>
      <c r="R480" s="3" t="s">
        <v>32</v>
      </c>
      <c r="S480" t="s">
        <v>32</v>
      </c>
      <c r="T480" s="1">
        <v>45477.538275462961</v>
      </c>
      <c r="U480" s="1">
        <v>45483.536909722221</v>
      </c>
      <c r="V480" s="2" t="s">
        <v>1795</v>
      </c>
    </row>
    <row r="481" spans="1:22" hidden="1" x14ac:dyDescent="0.45">
      <c r="A481" t="s">
        <v>1643</v>
      </c>
      <c r="B481" t="s">
        <v>593</v>
      </c>
      <c r="C481" t="s">
        <v>32</v>
      </c>
      <c r="D481" t="s">
        <v>1796</v>
      </c>
      <c r="F481" t="s">
        <v>32</v>
      </c>
      <c r="G481" t="s">
        <v>26</v>
      </c>
      <c r="H481" t="s">
        <v>280</v>
      </c>
      <c r="I481" t="s">
        <v>281</v>
      </c>
      <c r="J481" t="s">
        <v>1732</v>
      </c>
      <c r="K481" t="s">
        <v>63</v>
      </c>
      <c r="L481" t="s">
        <v>64</v>
      </c>
      <c r="M481" t="s">
        <v>1797</v>
      </c>
      <c r="N481" t="s">
        <v>65</v>
      </c>
      <c r="O481" t="s">
        <v>66</v>
      </c>
      <c r="P481" t="s">
        <v>32</v>
      </c>
      <c r="Q481" t="s">
        <v>1798</v>
      </c>
      <c r="R481" s="3" t="s">
        <v>32</v>
      </c>
      <c r="S481" t="s">
        <v>32</v>
      </c>
      <c r="T481" s="1">
        <v>45460.632199074076</v>
      </c>
      <c r="U481" s="1">
        <v>45470.709629629629</v>
      </c>
      <c r="V481" s="2" t="s">
        <v>1799</v>
      </c>
    </row>
    <row r="482" spans="1:22" hidden="1" x14ac:dyDescent="0.45">
      <c r="A482" t="s">
        <v>1643</v>
      </c>
      <c r="B482" t="s">
        <v>298</v>
      </c>
      <c r="C482" t="s">
        <v>32</v>
      </c>
      <c r="D482" t="s">
        <v>1800</v>
      </c>
      <c r="F482" t="s">
        <v>32</v>
      </c>
      <c r="G482" t="s">
        <v>188</v>
      </c>
      <c r="H482" t="s">
        <v>1752</v>
      </c>
      <c r="I482" t="s">
        <v>190</v>
      </c>
      <c r="J482" t="s">
        <v>301</v>
      </c>
      <c r="K482" t="s">
        <v>30</v>
      </c>
      <c r="L482" t="s">
        <v>302</v>
      </c>
      <c r="M482" t="s">
        <v>32</v>
      </c>
      <c r="N482" t="s">
        <v>32</v>
      </c>
      <c r="O482" t="s">
        <v>32</v>
      </c>
      <c r="P482" t="s">
        <v>32</v>
      </c>
      <c r="Q482" t="s">
        <v>1801</v>
      </c>
      <c r="R482" s="3" t="s">
        <v>32</v>
      </c>
      <c r="S482" t="s">
        <v>32</v>
      </c>
      <c r="T482" s="1">
        <v>45512.488645833335</v>
      </c>
      <c r="U482" s="1">
        <v>45512.495636574073</v>
      </c>
      <c r="V482" s="2" t="s">
        <v>1802</v>
      </c>
    </row>
    <row r="483" spans="1:22" hidden="1" x14ac:dyDescent="0.45">
      <c r="A483" t="s">
        <v>1643</v>
      </c>
      <c r="B483" t="s">
        <v>1644</v>
      </c>
      <c r="C483" t="s">
        <v>32</v>
      </c>
      <c r="D483" t="s">
        <v>1803</v>
      </c>
      <c r="F483" t="s">
        <v>32</v>
      </c>
      <c r="G483" t="s">
        <v>26</v>
      </c>
      <c r="H483" t="s">
        <v>32</v>
      </c>
      <c r="I483" t="s">
        <v>32</v>
      </c>
      <c r="J483" t="s">
        <v>301</v>
      </c>
      <c r="K483" t="s">
        <v>63</v>
      </c>
      <c r="L483" t="s">
        <v>1646</v>
      </c>
      <c r="M483" t="s">
        <v>1647</v>
      </c>
      <c r="N483" t="s">
        <v>32</v>
      </c>
      <c r="O483" t="s">
        <v>32</v>
      </c>
      <c r="P483" t="s">
        <v>32</v>
      </c>
      <c r="Q483" t="s">
        <v>1804</v>
      </c>
      <c r="R483" s="3" t="s">
        <v>32</v>
      </c>
      <c r="S483" t="s">
        <v>32</v>
      </c>
      <c r="T483" s="1">
        <v>45470.499849537038</v>
      </c>
      <c r="U483" s="1">
        <v>45470.70815972222</v>
      </c>
      <c r="V483" s="2" t="s">
        <v>1805</v>
      </c>
    </row>
    <row r="484" spans="1:22" hidden="1" x14ac:dyDescent="0.45">
      <c r="A484" t="s">
        <v>1643</v>
      </c>
      <c r="B484" t="s">
        <v>1663</v>
      </c>
      <c r="C484" t="s">
        <v>32</v>
      </c>
      <c r="D484" t="s">
        <v>1806</v>
      </c>
      <c r="F484" t="s">
        <v>32</v>
      </c>
      <c r="G484" t="s">
        <v>26</v>
      </c>
      <c r="H484" t="s">
        <v>32</v>
      </c>
      <c r="I484" t="s">
        <v>32</v>
      </c>
      <c r="J484" t="s">
        <v>301</v>
      </c>
      <c r="K484" t="s">
        <v>63</v>
      </c>
      <c r="L484" t="s">
        <v>1665</v>
      </c>
      <c r="M484" t="s">
        <v>1666</v>
      </c>
      <c r="N484" t="s">
        <v>32</v>
      </c>
      <c r="O484" t="s">
        <v>32</v>
      </c>
      <c r="P484" t="s">
        <v>32</v>
      </c>
      <c r="Q484" t="s">
        <v>1807</v>
      </c>
      <c r="R484" s="3" t="s">
        <v>32</v>
      </c>
      <c r="S484" t="s">
        <v>32</v>
      </c>
      <c r="T484" s="1">
        <v>45481.537442129629</v>
      </c>
      <c r="U484" s="1">
        <v>45483.536469907405</v>
      </c>
      <c r="V484" s="2" t="s">
        <v>1808</v>
      </c>
    </row>
    <row r="485" spans="1:22" hidden="1" x14ac:dyDescent="0.45">
      <c r="A485" t="s">
        <v>1809</v>
      </c>
      <c r="B485" t="s">
        <v>32</v>
      </c>
      <c r="C485" t="s">
        <v>32</v>
      </c>
      <c r="D485" t="s">
        <v>1810</v>
      </c>
      <c r="F485" t="s">
        <v>32</v>
      </c>
      <c r="G485" t="s">
        <v>32</v>
      </c>
      <c r="H485" t="s">
        <v>32</v>
      </c>
      <c r="I485" t="s">
        <v>32</v>
      </c>
      <c r="J485" t="s">
        <v>32</v>
      </c>
      <c r="K485" t="s">
        <v>32</v>
      </c>
      <c r="L485" t="s">
        <v>32</v>
      </c>
      <c r="M485" t="s">
        <v>32</v>
      </c>
      <c r="N485" t="s">
        <v>32</v>
      </c>
      <c r="O485" t="s">
        <v>32</v>
      </c>
      <c r="P485" t="s">
        <v>32</v>
      </c>
      <c r="Q485" t="s">
        <v>1811</v>
      </c>
      <c r="R485" s="3" t="s">
        <v>32</v>
      </c>
      <c r="S485" t="s">
        <v>32</v>
      </c>
      <c r="T485" s="1">
        <v>45574.635497685187</v>
      </c>
      <c r="U485" s="1">
        <v>45575.460995370369</v>
      </c>
      <c r="V485" s="2" t="s">
        <v>1812</v>
      </c>
    </row>
    <row r="486" spans="1:22" hidden="1" x14ac:dyDescent="0.45">
      <c r="A486" t="s">
        <v>1809</v>
      </c>
      <c r="B486" t="s">
        <v>32</v>
      </c>
      <c r="C486" t="s">
        <v>32</v>
      </c>
      <c r="D486" t="s">
        <v>1813</v>
      </c>
      <c r="F486" t="s">
        <v>32</v>
      </c>
      <c r="G486" t="s">
        <v>32</v>
      </c>
      <c r="H486" t="s">
        <v>32</v>
      </c>
      <c r="I486" t="s">
        <v>32</v>
      </c>
      <c r="J486" t="s">
        <v>32</v>
      </c>
      <c r="K486" t="s">
        <v>32</v>
      </c>
      <c r="L486" t="s">
        <v>32</v>
      </c>
      <c r="M486" t="s">
        <v>32</v>
      </c>
      <c r="N486" t="s">
        <v>32</v>
      </c>
      <c r="O486" t="s">
        <v>32</v>
      </c>
      <c r="P486" t="s">
        <v>32</v>
      </c>
      <c r="Q486" t="s">
        <v>1814</v>
      </c>
      <c r="R486" s="3" t="s">
        <v>32</v>
      </c>
      <c r="S486" t="s">
        <v>32</v>
      </c>
      <c r="T486" s="1">
        <v>45574.636064814818</v>
      </c>
      <c r="U486" s="1">
        <v>45575.461296296293</v>
      </c>
      <c r="V486" s="2" t="s">
        <v>1815</v>
      </c>
    </row>
    <row r="487" spans="1:22" hidden="1" x14ac:dyDescent="0.45">
      <c r="A487" t="s">
        <v>1809</v>
      </c>
      <c r="B487" t="s">
        <v>32</v>
      </c>
      <c r="C487" t="s">
        <v>32</v>
      </c>
      <c r="D487" t="s">
        <v>1816</v>
      </c>
      <c r="F487" t="s">
        <v>32</v>
      </c>
      <c r="G487" t="s">
        <v>32</v>
      </c>
      <c r="H487" t="s">
        <v>32</v>
      </c>
      <c r="I487" t="s">
        <v>32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32</v>
      </c>
      <c r="Q487" t="s">
        <v>1817</v>
      </c>
      <c r="R487" s="3" t="s">
        <v>32</v>
      </c>
      <c r="S487" t="s">
        <v>32</v>
      </c>
      <c r="T487" s="1">
        <v>45574.634826388887</v>
      </c>
      <c r="U487" s="1">
        <v>45575.460370370369</v>
      </c>
      <c r="V487" s="2" t="s">
        <v>1818</v>
      </c>
    </row>
    <row r="488" spans="1:22" hidden="1" x14ac:dyDescent="0.45">
      <c r="A488" t="s">
        <v>1809</v>
      </c>
      <c r="B488" t="s">
        <v>32</v>
      </c>
      <c r="C488" t="s">
        <v>32</v>
      </c>
      <c r="D488" t="s">
        <v>1819</v>
      </c>
      <c r="F488" t="s">
        <v>32</v>
      </c>
      <c r="G488" t="s">
        <v>32</v>
      </c>
      <c r="H488" t="s">
        <v>32</v>
      </c>
      <c r="I488" t="s">
        <v>32</v>
      </c>
      <c r="J488" t="s">
        <v>32</v>
      </c>
      <c r="K488" t="s">
        <v>32</v>
      </c>
      <c r="L488" t="s">
        <v>32</v>
      </c>
      <c r="M488" t="s">
        <v>32</v>
      </c>
      <c r="N488" t="s">
        <v>32</v>
      </c>
      <c r="O488" t="s">
        <v>32</v>
      </c>
      <c r="P488" t="s">
        <v>32</v>
      </c>
      <c r="Q488" t="s">
        <v>1820</v>
      </c>
      <c r="R488" s="3" t="s">
        <v>32</v>
      </c>
      <c r="S488" t="s">
        <v>32</v>
      </c>
      <c r="T488" s="1">
        <v>45574.635185185187</v>
      </c>
      <c r="U488" s="1">
        <v>45575.460520833331</v>
      </c>
      <c r="V488" s="2" t="s">
        <v>1821</v>
      </c>
    </row>
    <row r="489" spans="1:22" hidden="1" x14ac:dyDescent="0.45">
      <c r="A489" t="s">
        <v>1809</v>
      </c>
      <c r="B489" t="s">
        <v>22</v>
      </c>
      <c r="C489" t="s">
        <v>1822</v>
      </c>
      <c r="D489" t="s">
        <v>75</v>
      </c>
      <c r="F489" t="s">
        <v>76</v>
      </c>
      <c r="G489" t="s">
        <v>188</v>
      </c>
      <c r="H489" t="s">
        <v>189</v>
      </c>
      <c r="I489" t="s">
        <v>190</v>
      </c>
      <c r="J489" t="s">
        <v>29</v>
      </c>
      <c r="K489" t="s">
        <v>30</v>
      </c>
      <c r="L489" t="s">
        <v>31</v>
      </c>
      <c r="M489" t="s">
        <v>32</v>
      </c>
      <c r="N489" t="s">
        <v>32</v>
      </c>
      <c r="O489" t="s">
        <v>32</v>
      </c>
      <c r="P489" t="s">
        <v>33</v>
      </c>
      <c r="Q489" t="s">
        <v>1823</v>
      </c>
      <c r="R489" s="3">
        <v>10</v>
      </c>
      <c r="S489" t="s">
        <v>32</v>
      </c>
      <c r="T489" s="1">
        <v>45443.493472222224</v>
      </c>
      <c r="U489" s="1">
        <v>45497.709143518521</v>
      </c>
      <c r="V489" s="2" t="s">
        <v>1824</v>
      </c>
    </row>
    <row r="490" spans="1:22" hidden="1" x14ac:dyDescent="0.45">
      <c r="A490" t="s">
        <v>1809</v>
      </c>
      <c r="B490" t="s">
        <v>22</v>
      </c>
      <c r="C490" t="s">
        <v>1825</v>
      </c>
      <c r="D490" t="s">
        <v>80</v>
      </c>
      <c r="F490" t="s">
        <v>71</v>
      </c>
      <c r="G490" t="s">
        <v>188</v>
      </c>
      <c r="H490" t="s">
        <v>189</v>
      </c>
      <c r="I490" t="s">
        <v>190</v>
      </c>
      <c r="J490" t="s">
        <v>29</v>
      </c>
      <c r="K490" t="s">
        <v>30</v>
      </c>
      <c r="L490" t="s">
        <v>31</v>
      </c>
      <c r="M490" t="s">
        <v>32</v>
      </c>
      <c r="N490" t="s">
        <v>32</v>
      </c>
      <c r="O490" t="s">
        <v>32</v>
      </c>
      <c r="P490" t="s">
        <v>33</v>
      </c>
      <c r="Q490" t="s">
        <v>1826</v>
      </c>
      <c r="R490" s="3">
        <v>15</v>
      </c>
      <c r="S490" t="s">
        <v>32</v>
      </c>
      <c r="T490" s="1">
        <v>45443.493472222224</v>
      </c>
      <c r="U490" s="1">
        <v>45497.710196759261</v>
      </c>
      <c r="V490" s="2" t="s">
        <v>1827</v>
      </c>
    </row>
    <row r="491" spans="1:22" hidden="1" x14ac:dyDescent="0.45">
      <c r="A491" t="s">
        <v>1809</v>
      </c>
      <c r="B491" t="s">
        <v>22</v>
      </c>
      <c r="C491" t="s">
        <v>1828</v>
      </c>
      <c r="D491" t="s">
        <v>1329</v>
      </c>
      <c r="F491" t="s">
        <v>71</v>
      </c>
      <c r="G491" t="s">
        <v>188</v>
      </c>
      <c r="H491" t="s">
        <v>189</v>
      </c>
      <c r="I491" t="s">
        <v>190</v>
      </c>
      <c r="J491" t="s">
        <v>29</v>
      </c>
      <c r="K491" t="s">
        <v>30</v>
      </c>
      <c r="L491" t="s">
        <v>31</v>
      </c>
      <c r="M491" t="s">
        <v>32</v>
      </c>
      <c r="N491" t="s">
        <v>32</v>
      </c>
      <c r="O491" t="s">
        <v>32</v>
      </c>
      <c r="P491" t="s">
        <v>33</v>
      </c>
      <c r="Q491" t="s">
        <v>1829</v>
      </c>
      <c r="R491" s="3">
        <v>10</v>
      </c>
      <c r="S491" t="s">
        <v>32</v>
      </c>
      <c r="T491" s="1">
        <v>45443.494618055556</v>
      </c>
      <c r="U491" s="1">
        <v>45497.709282407406</v>
      </c>
      <c r="V491" s="2" t="s">
        <v>1830</v>
      </c>
    </row>
    <row r="492" spans="1:22" hidden="1" x14ac:dyDescent="0.45">
      <c r="A492" t="s">
        <v>1809</v>
      </c>
      <c r="B492" t="s">
        <v>22</v>
      </c>
      <c r="C492" t="s">
        <v>1831</v>
      </c>
      <c r="D492" t="s">
        <v>1341</v>
      </c>
      <c r="F492" t="s">
        <v>71</v>
      </c>
      <c r="G492" t="s">
        <v>188</v>
      </c>
      <c r="H492" t="s">
        <v>189</v>
      </c>
      <c r="I492" t="s">
        <v>190</v>
      </c>
      <c r="J492" t="s">
        <v>29</v>
      </c>
      <c r="K492" t="s">
        <v>30</v>
      </c>
      <c r="L492" t="s">
        <v>31</v>
      </c>
      <c r="M492" t="s">
        <v>32</v>
      </c>
      <c r="N492" t="s">
        <v>32</v>
      </c>
      <c r="O492" t="s">
        <v>32</v>
      </c>
      <c r="P492" t="s">
        <v>33</v>
      </c>
      <c r="Q492" t="s">
        <v>1832</v>
      </c>
      <c r="R492" s="3" t="s">
        <v>32</v>
      </c>
      <c r="S492" t="s">
        <v>32</v>
      </c>
      <c r="T492" s="1">
        <v>45559.749756944446</v>
      </c>
      <c r="U492" s="1">
        <v>45560.422962962963</v>
      </c>
      <c r="V492" s="2" t="s">
        <v>1833</v>
      </c>
    </row>
    <row r="493" spans="1:22" hidden="1" x14ac:dyDescent="0.45">
      <c r="A493" t="s">
        <v>1809</v>
      </c>
      <c r="B493" t="s">
        <v>22</v>
      </c>
      <c r="C493" t="s">
        <v>1834</v>
      </c>
      <c r="D493" t="s">
        <v>484</v>
      </c>
      <c r="F493" t="s">
        <v>25</v>
      </c>
      <c r="G493" t="s">
        <v>188</v>
      </c>
      <c r="H493" t="s">
        <v>189</v>
      </c>
      <c r="I493" t="s">
        <v>190</v>
      </c>
      <c r="J493" t="s">
        <v>29</v>
      </c>
      <c r="K493" t="s">
        <v>30</v>
      </c>
      <c r="L493" t="s">
        <v>31</v>
      </c>
      <c r="M493" t="s">
        <v>32</v>
      </c>
      <c r="N493" t="s">
        <v>32</v>
      </c>
      <c r="O493" t="s">
        <v>32</v>
      </c>
      <c r="P493" t="s">
        <v>33</v>
      </c>
      <c r="Q493" t="s">
        <v>1835</v>
      </c>
      <c r="R493" s="3">
        <v>10</v>
      </c>
      <c r="S493" t="s">
        <v>32</v>
      </c>
      <c r="T493" s="1">
        <v>45443.532476851855</v>
      </c>
      <c r="U493" s="1">
        <v>45497.709641203706</v>
      </c>
      <c r="V493" s="2" t="s">
        <v>1836</v>
      </c>
    </row>
    <row r="494" spans="1:22" hidden="1" x14ac:dyDescent="0.45">
      <c r="A494" t="s">
        <v>1809</v>
      </c>
      <c r="B494" t="s">
        <v>22</v>
      </c>
      <c r="C494" t="s">
        <v>1837</v>
      </c>
      <c r="D494" t="s">
        <v>488</v>
      </c>
      <c r="F494" t="s">
        <v>25</v>
      </c>
      <c r="G494" t="s">
        <v>188</v>
      </c>
      <c r="H494" t="s">
        <v>189</v>
      </c>
      <c r="I494" t="s">
        <v>190</v>
      </c>
      <c r="J494" t="s">
        <v>29</v>
      </c>
      <c r="K494" t="s">
        <v>30</v>
      </c>
      <c r="L494" t="s">
        <v>31</v>
      </c>
      <c r="M494" t="s">
        <v>32</v>
      </c>
      <c r="N494" t="s">
        <v>32</v>
      </c>
      <c r="O494" t="s">
        <v>32</v>
      </c>
      <c r="P494" t="s">
        <v>33</v>
      </c>
      <c r="Q494" t="s">
        <v>1838</v>
      </c>
      <c r="R494" s="3">
        <v>10</v>
      </c>
      <c r="S494" t="s">
        <v>32</v>
      </c>
      <c r="T494" s="1">
        <v>45443.494618055556</v>
      </c>
      <c r="U494" s="1">
        <v>45497.71125</v>
      </c>
      <c r="V494" s="2" t="s">
        <v>1839</v>
      </c>
    </row>
    <row r="495" spans="1:22" hidden="1" x14ac:dyDescent="0.45">
      <c r="A495" t="s">
        <v>1809</v>
      </c>
      <c r="B495" t="s">
        <v>22</v>
      </c>
      <c r="C495" t="s">
        <v>1840</v>
      </c>
      <c r="D495" t="s">
        <v>1841</v>
      </c>
      <c r="F495" t="s">
        <v>71</v>
      </c>
      <c r="G495" t="s">
        <v>188</v>
      </c>
      <c r="H495" t="s">
        <v>189</v>
      </c>
      <c r="I495" t="s">
        <v>190</v>
      </c>
      <c r="J495" t="s">
        <v>29</v>
      </c>
      <c r="K495" t="s">
        <v>30</v>
      </c>
      <c r="L495" t="s">
        <v>31</v>
      </c>
      <c r="M495" t="s">
        <v>32</v>
      </c>
      <c r="N495" t="s">
        <v>32</v>
      </c>
      <c r="O495" t="s">
        <v>32</v>
      </c>
      <c r="P495" t="s">
        <v>33</v>
      </c>
      <c r="Q495" t="s">
        <v>1842</v>
      </c>
      <c r="R495" s="3">
        <v>10</v>
      </c>
      <c r="S495" t="s">
        <v>32</v>
      </c>
      <c r="T495" s="1">
        <v>45443.493391203701</v>
      </c>
      <c r="U495" s="1">
        <v>45497.734340277777</v>
      </c>
      <c r="V495" s="2" t="s">
        <v>1843</v>
      </c>
    </row>
    <row r="496" spans="1:22" hidden="1" x14ac:dyDescent="0.45">
      <c r="A496" t="s">
        <v>1809</v>
      </c>
      <c r="B496" t="s">
        <v>22</v>
      </c>
      <c r="C496" t="s">
        <v>1844</v>
      </c>
      <c r="D496" t="s">
        <v>495</v>
      </c>
      <c r="F496" t="s">
        <v>76</v>
      </c>
      <c r="G496" t="s">
        <v>188</v>
      </c>
      <c r="H496" t="s">
        <v>189</v>
      </c>
      <c r="I496" t="s">
        <v>190</v>
      </c>
      <c r="J496" t="s">
        <v>29</v>
      </c>
      <c r="K496" t="s">
        <v>30</v>
      </c>
      <c r="L496" t="s">
        <v>31</v>
      </c>
      <c r="M496" t="s">
        <v>32</v>
      </c>
      <c r="N496" t="s">
        <v>32</v>
      </c>
      <c r="O496" t="s">
        <v>32</v>
      </c>
      <c r="P496" t="s">
        <v>33</v>
      </c>
      <c r="Q496" t="s">
        <v>1845</v>
      </c>
      <c r="R496" s="3">
        <v>10</v>
      </c>
      <c r="S496" t="s">
        <v>32</v>
      </c>
      <c r="T496" s="1">
        <v>45513.623449074075</v>
      </c>
      <c r="U496" s="1">
        <v>45524.487233796295</v>
      </c>
      <c r="V496" s="2" t="s">
        <v>1846</v>
      </c>
    </row>
    <row r="497" spans="1:22" hidden="1" x14ac:dyDescent="0.45">
      <c r="A497" t="s">
        <v>1809</v>
      </c>
      <c r="B497" t="s">
        <v>22</v>
      </c>
      <c r="C497" t="s">
        <v>1847</v>
      </c>
      <c r="D497" t="s">
        <v>1848</v>
      </c>
      <c r="F497" t="s">
        <v>71</v>
      </c>
      <c r="G497" t="s">
        <v>188</v>
      </c>
      <c r="H497" t="s">
        <v>189</v>
      </c>
      <c r="I497" t="s">
        <v>190</v>
      </c>
      <c r="J497" t="s">
        <v>29</v>
      </c>
      <c r="K497" t="s">
        <v>30</v>
      </c>
      <c r="L497" t="s">
        <v>31</v>
      </c>
      <c r="M497" t="s">
        <v>32</v>
      </c>
      <c r="N497" t="s">
        <v>32</v>
      </c>
      <c r="O497" t="s">
        <v>32</v>
      </c>
      <c r="P497" t="s">
        <v>33</v>
      </c>
      <c r="Q497" t="s">
        <v>1849</v>
      </c>
      <c r="R497" s="3">
        <v>15</v>
      </c>
      <c r="S497" t="s">
        <v>32</v>
      </c>
      <c r="T497" s="1">
        <v>45443.492800925924</v>
      </c>
      <c r="U497" s="1">
        <v>45497.7106712963</v>
      </c>
      <c r="V497" s="2" t="s">
        <v>1850</v>
      </c>
    </row>
    <row r="498" spans="1:22" hidden="1" x14ac:dyDescent="0.45">
      <c r="A498" t="s">
        <v>1809</v>
      </c>
      <c r="B498" t="s">
        <v>22</v>
      </c>
      <c r="C498" t="s">
        <v>1851</v>
      </c>
      <c r="D498" t="s">
        <v>1852</v>
      </c>
      <c r="F498" t="s">
        <v>71</v>
      </c>
      <c r="G498" t="s">
        <v>188</v>
      </c>
      <c r="H498" t="s">
        <v>189</v>
      </c>
      <c r="I498" t="s">
        <v>190</v>
      </c>
      <c r="J498" t="s">
        <v>29</v>
      </c>
      <c r="K498" t="s">
        <v>30</v>
      </c>
      <c r="L498" t="s">
        <v>31</v>
      </c>
      <c r="M498" t="s">
        <v>32</v>
      </c>
      <c r="N498" t="s">
        <v>32</v>
      </c>
      <c r="O498" t="s">
        <v>32</v>
      </c>
      <c r="P498" t="s">
        <v>33</v>
      </c>
      <c r="Q498" t="s">
        <v>1853</v>
      </c>
      <c r="R498" s="3">
        <v>10</v>
      </c>
      <c r="S498" t="s">
        <v>32</v>
      </c>
      <c r="T498" s="1">
        <v>45472.623287037037</v>
      </c>
      <c r="U498" s="1">
        <v>45497.711331018516</v>
      </c>
      <c r="V498" s="2" t="s">
        <v>1854</v>
      </c>
    </row>
    <row r="499" spans="1:22" hidden="1" x14ac:dyDescent="0.45">
      <c r="A499" t="s">
        <v>1809</v>
      </c>
      <c r="B499" t="s">
        <v>22</v>
      </c>
      <c r="C499" t="s">
        <v>1855</v>
      </c>
      <c r="D499" t="s">
        <v>1856</v>
      </c>
      <c r="F499" t="s">
        <v>71</v>
      </c>
      <c r="G499" t="s">
        <v>188</v>
      </c>
      <c r="H499" t="s">
        <v>189</v>
      </c>
      <c r="I499" t="s">
        <v>190</v>
      </c>
      <c r="J499" t="s">
        <v>29</v>
      </c>
      <c r="K499" t="s">
        <v>30</v>
      </c>
      <c r="L499" t="s">
        <v>31</v>
      </c>
      <c r="M499" t="s">
        <v>32</v>
      </c>
      <c r="N499" t="s">
        <v>32</v>
      </c>
      <c r="O499" t="s">
        <v>32</v>
      </c>
      <c r="P499" t="s">
        <v>33</v>
      </c>
      <c r="Q499" t="s">
        <v>1857</v>
      </c>
      <c r="R499" s="3">
        <v>10</v>
      </c>
      <c r="S499" t="s">
        <v>32</v>
      </c>
      <c r="T499" s="1">
        <v>45474.489004629628</v>
      </c>
      <c r="U499" s="1">
        <v>45553.454270833332</v>
      </c>
      <c r="V499" s="2" t="s">
        <v>1858</v>
      </c>
    </row>
    <row r="500" spans="1:22" hidden="1" x14ac:dyDescent="0.45">
      <c r="A500" t="s">
        <v>1809</v>
      </c>
      <c r="B500" t="s">
        <v>22</v>
      </c>
      <c r="C500" t="s">
        <v>1859</v>
      </c>
      <c r="D500" t="s">
        <v>1860</v>
      </c>
      <c r="F500" t="s">
        <v>71</v>
      </c>
      <c r="G500" t="s">
        <v>188</v>
      </c>
      <c r="H500" t="s">
        <v>189</v>
      </c>
      <c r="I500" t="s">
        <v>190</v>
      </c>
      <c r="J500" t="s">
        <v>29</v>
      </c>
      <c r="K500" t="s">
        <v>30</v>
      </c>
      <c r="L500" t="s">
        <v>31</v>
      </c>
      <c r="M500" t="s">
        <v>32</v>
      </c>
      <c r="N500" t="s">
        <v>32</v>
      </c>
      <c r="O500" t="s">
        <v>32</v>
      </c>
      <c r="P500" t="s">
        <v>33</v>
      </c>
      <c r="Q500" t="s">
        <v>1861</v>
      </c>
      <c r="R500" s="3">
        <v>10</v>
      </c>
      <c r="S500" t="s">
        <v>32</v>
      </c>
      <c r="T500" s="1">
        <v>45464.734884259262</v>
      </c>
      <c r="U500" s="1">
        <v>45497.70994212963</v>
      </c>
      <c r="V500" s="2" t="s">
        <v>1862</v>
      </c>
    </row>
    <row r="501" spans="1:22" hidden="1" x14ac:dyDescent="0.45">
      <c r="A501" t="s">
        <v>1809</v>
      </c>
      <c r="B501" t="s">
        <v>22</v>
      </c>
      <c r="C501" t="s">
        <v>1863</v>
      </c>
      <c r="D501" t="s">
        <v>1864</v>
      </c>
      <c r="F501" t="s">
        <v>71</v>
      </c>
      <c r="G501" t="s">
        <v>188</v>
      </c>
      <c r="H501" t="s">
        <v>189</v>
      </c>
      <c r="I501" t="s">
        <v>190</v>
      </c>
      <c r="J501" t="s">
        <v>29</v>
      </c>
      <c r="K501" t="s">
        <v>30</v>
      </c>
      <c r="L501" t="s">
        <v>31</v>
      </c>
      <c r="M501" t="s">
        <v>32</v>
      </c>
      <c r="N501" t="s">
        <v>32</v>
      </c>
      <c r="O501" t="s">
        <v>32</v>
      </c>
      <c r="P501" t="s">
        <v>33</v>
      </c>
      <c r="Q501" t="s">
        <v>1865</v>
      </c>
      <c r="R501" s="3">
        <v>10</v>
      </c>
      <c r="S501" t="s">
        <v>32</v>
      </c>
      <c r="T501" s="1">
        <v>45464.636921296296</v>
      </c>
      <c r="U501" s="1">
        <v>45497.70994212963</v>
      </c>
      <c r="V501" s="2" t="s">
        <v>1866</v>
      </c>
    </row>
    <row r="502" spans="1:22" hidden="1" x14ac:dyDescent="0.45">
      <c r="A502" t="s">
        <v>1809</v>
      </c>
      <c r="B502" t="s">
        <v>22</v>
      </c>
      <c r="C502" t="s">
        <v>1867</v>
      </c>
      <c r="D502" t="s">
        <v>1868</v>
      </c>
      <c r="F502" t="s">
        <v>71</v>
      </c>
      <c r="G502" t="s">
        <v>188</v>
      </c>
      <c r="H502" t="s">
        <v>189</v>
      </c>
      <c r="I502" t="s">
        <v>190</v>
      </c>
      <c r="J502" t="s">
        <v>29</v>
      </c>
      <c r="K502" t="s">
        <v>30</v>
      </c>
      <c r="L502" t="s">
        <v>31</v>
      </c>
      <c r="M502" t="s">
        <v>32</v>
      </c>
      <c r="N502" t="s">
        <v>32</v>
      </c>
      <c r="O502" t="s">
        <v>32</v>
      </c>
      <c r="P502" t="s">
        <v>33</v>
      </c>
      <c r="Q502" t="s">
        <v>1869</v>
      </c>
      <c r="R502" s="3">
        <v>10</v>
      </c>
      <c r="S502" t="s">
        <v>32</v>
      </c>
      <c r="T502" s="1">
        <v>45497.734409722223</v>
      </c>
      <c r="U502" s="1">
        <v>45505.742268518516</v>
      </c>
      <c r="V502" s="2" t="s">
        <v>1870</v>
      </c>
    </row>
    <row r="503" spans="1:22" hidden="1" x14ac:dyDescent="0.45">
      <c r="A503" t="s">
        <v>1809</v>
      </c>
      <c r="B503" t="s">
        <v>213</v>
      </c>
      <c r="C503" t="s">
        <v>1871</v>
      </c>
      <c r="D503" t="s">
        <v>1872</v>
      </c>
      <c r="F503" t="s">
        <v>25</v>
      </c>
      <c r="G503" t="s">
        <v>188</v>
      </c>
      <c r="H503" t="s">
        <v>189</v>
      </c>
      <c r="I503" t="s">
        <v>190</v>
      </c>
      <c r="J503" t="s">
        <v>1873</v>
      </c>
      <c r="K503" t="s">
        <v>30</v>
      </c>
      <c r="L503" t="s">
        <v>31</v>
      </c>
      <c r="M503" t="s">
        <v>32</v>
      </c>
      <c r="N503" t="s">
        <v>32</v>
      </c>
      <c r="O503" t="s">
        <v>32</v>
      </c>
      <c r="P503" t="s">
        <v>33</v>
      </c>
      <c r="Q503" t="s">
        <v>1874</v>
      </c>
      <c r="R503" s="3">
        <v>15</v>
      </c>
      <c r="S503" t="s">
        <v>32</v>
      </c>
      <c r="T503" s="1">
        <v>45474.492083333331</v>
      </c>
      <c r="U503" s="1">
        <v>45497.710902777777</v>
      </c>
      <c r="V503" s="2" t="s">
        <v>1875</v>
      </c>
    </row>
    <row r="504" spans="1:22" hidden="1" x14ac:dyDescent="0.45">
      <c r="A504" t="s">
        <v>1809</v>
      </c>
      <c r="B504" t="s">
        <v>213</v>
      </c>
      <c r="C504" t="s">
        <v>1876</v>
      </c>
      <c r="D504" t="s">
        <v>1333</v>
      </c>
      <c r="F504" t="s">
        <v>25</v>
      </c>
      <c r="G504" t="s">
        <v>188</v>
      </c>
      <c r="H504" t="s">
        <v>189</v>
      </c>
      <c r="I504" t="s">
        <v>190</v>
      </c>
      <c r="J504" t="s">
        <v>1873</v>
      </c>
      <c r="K504" t="s">
        <v>30</v>
      </c>
      <c r="L504" t="s">
        <v>31</v>
      </c>
      <c r="M504" t="s">
        <v>32</v>
      </c>
      <c r="N504" t="s">
        <v>32</v>
      </c>
      <c r="O504" t="s">
        <v>32</v>
      </c>
      <c r="P504" t="s">
        <v>33</v>
      </c>
      <c r="Q504" t="s">
        <v>1877</v>
      </c>
      <c r="R504" s="3">
        <v>10</v>
      </c>
      <c r="S504" t="s">
        <v>32</v>
      </c>
      <c r="T504" s="1">
        <v>45443.501469907409</v>
      </c>
      <c r="U504" s="1">
        <v>45497.709479166668</v>
      </c>
      <c r="V504" s="2" t="s">
        <v>1878</v>
      </c>
    </row>
    <row r="505" spans="1:22" hidden="1" x14ac:dyDescent="0.45">
      <c r="A505" t="s">
        <v>1809</v>
      </c>
      <c r="B505" t="s">
        <v>213</v>
      </c>
      <c r="C505" t="s">
        <v>1879</v>
      </c>
      <c r="D505" t="s">
        <v>1880</v>
      </c>
      <c r="F505" t="s">
        <v>25</v>
      </c>
      <c r="G505" t="s">
        <v>188</v>
      </c>
      <c r="H505" t="s">
        <v>189</v>
      </c>
      <c r="I505" t="s">
        <v>190</v>
      </c>
      <c r="J505" t="s">
        <v>216</v>
      </c>
      <c r="K505" t="s">
        <v>30</v>
      </c>
      <c r="L505" t="s">
        <v>31</v>
      </c>
      <c r="M505" t="s">
        <v>32</v>
      </c>
      <c r="N505" t="s">
        <v>32</v>
      </c>
      <c r="O505" t="s">
        <v>32</v>
      </c>
      <c r="P505" t="s">
        <v>33</v>
      </c>
      <c r="Q505" t="s">
        <v>1881</v>
      </c>
      <c r="R505" s="3">
        <v>10</v>
      </c>
      <c r="S505" t="s">
        <v>32</v>
      </c>
      <c r="T505" s="1">
        <v>45464.735868055555</v>
      </c>
      <c r="U505" s="1">
        <v>45497.711111111108</v>
      </c>
      <c r="V505" s="2" t="s">
        <v>1882</v>
      </c>
    </row>
    <row r="506" spans="1:22" hidden="1" x14ac:dyDescent="0.45">
      <c r="A506" t="s">
        <v>1809</v>
      </c>
      <c r="B506" t="s">
        <v>59</v>
      </c>
      <c r="C506" t="s">
        <v>1883</v>
      </c>
      <c r="D506" t="s">
        <v>1884</v>
      </c>
      <c r="F506" t="s">
        <v>85</v>
      </c>
      <c r="G506" t="s">
        <v>188</v>
      </c>
      <c r="H506" t="s">
        <v>246</v>
      </c>
      <c r="I506" t="s">
        <v>1885</v>
      </c>
      <c r="J506" t="s">
        <v>256</v>
      </c>
      <c r="K506" t="s">
        <v>63</v>
      </c>
      <c r="L506" t="s">
        <v>64</v>
      </c>
      <c r="M506" t="s">
        <v>32</v>
      </c>
      <c r="N506" t="s">
        <v>246</v>
      </c>
      <c r="O506" t="s">
        <v>1886</v>
      </c>
      <c r="P506" t="s">
        <v>32</v>
      </c>
      <c r="Q506" t="s">
        <v>1887</v>
      </c>
      <c r="R506" s="3">
        <v>5</v>
      </c>
      <c r="S506" t="s">
        <v>32</v>
      </c>
      <c r="T506" s="1">
        <v>45474.487442129626</v>
      </c>
      <c r="U506" s="1">
        <v>45496.709328703706</v>
      </c>
      <c r="V506" s="2" t="s">
        <v>1888</v>
      </c>
    </row>
    <row r="507" spans="1:22" hidden="1" x14ac:dyDescent="0.45">
      <c r="A507" t="s">
        <v>1809</v>
      </c>
      <c r="B507" t="s">
        <v>59</v>
      </c>
      <c r="C507" t="s">
        <v>1889</v>
      </c>
      <c r="D507" t="s">
        <v>1890</v>
      </c>
      <c r="F507" t="s">
        <v>85</v>
      </c>
      <c r="G507" t="s">
        <v>188</v>
      </c>
      <c r="H507" t="s">
        <v>246</v>
      </c>
      <c r="I507" t="s">
        <v>1885</v>
      </c>
      <c r="J507" t="s">
        <v>256</v>
      </c>
      <c r="K507" t="s">
        <v>63</v>
      </c>
      <c r="L507" t="s">
        <v>64</v>
      </c>
      <c r="M507" t="s">
        <v>32</v>
      </c>
      <c r="N507" t="s">
        <v>246</v>
      </c>
      <c r="O507" t="s">
        <v>1886</v>
      </c>
      <c r="P507" t="s">
        <v>32</v>
      </c>
      <c r="Q507" t="s">
        <v>1891</v>
      </c>
      <c r="R507" s="3">
        <v>5</v>
      </c>
      <c r="S507" t="s">
        <v>32</v>
      </c>
      <c r="T507" s="1">
        <v>45474.487476851849</v>
      </c>
      <c r="U507" s="1">
        <v>45496.709328703706</v>
      </c>
      <c r="V507" s="2" t="s">
        <v>1892</v>
      </c>
    </row>
    <row r="508" spans="1:22" hidden="1" x14ac:dyDescent="0.45">
      <c r="A508" t="s">
        <v>1809</v>
      </c>
      <c r="B508" t="s">
        <v>59</v>
      </c>
      <c r="C508" t="s">
        <v>1893</v>
      </c>
      <c r="D508" t="s">
        <v>1894</v>
      </c>
      <c r="F508" t="s">
        <v>85</v>
      </c>
      <c r="G508" t="s">
        <v>188</v>
      </c>
      <c r="H508" t="s">
        <v>246</v>
      </c>
      <c r="I508" t="s">
        <v>1885</v>
      </c>
      <c r="J508" t="s">
        <v>256</v>
      </c>
      <c r="K508" t="s">
        <v>63</v>
      </c>
      <c r="L508" t="s">
        <v>64</v>
      </c>
      <c r="M508" t="s">
        <v>32</v>
      </c>
      <c r="N508" t="s">
        <v>246</v>
      </c>
      <c r="O508" t="s">
        <v>1886</v>
      </c>
      <c r="P508" t="s">
        <v>32</v>
      </c>
      <c r="Q508" t="s">
        <v>1895</v>
      </c>
      <c r="R508" s="3">
        <v>5</v>
      </c>
      <c r="S508" t="s">
        <v>32</v>
      </c>
      <c r="T508" s="1">
        <v>45474.487303240741</v>
      </c>
      <c r="U508" s="1">
        <v>45496.709328703706</v>
      </c>
      <c r="V508" s="2" t="s">
        <v>1896</v>
      </c>
    </row>
    <row r="509" spans="1:22" hidden="1" x14ac:dyDescent="0.45">
      <c r="A509" t="s">
        <v>1809</v>
      </c>
      <c r="B509" t="s">
        <v>59</v>
      </c>
      <c r="C509" t="s">
        <v>1897</v>
      </c>
      <c r="D509" t="s">
        <v>1898</v>
      </c>
      <c r="F509" t="s">
        <v>85</v>
      </c>
      <c r="G509" t="s">
        <v>188</v>
      </c>
      <c r="H509" t="s">
        <v>246</v>
      </c>
      <c r="I509" t="s">
        <v>1885</v>
      </c>
      <c r="J509" t="s">
        <v>216</v>
      </c>
      <c r="K509" t="s">
        <v>63</v>
      </c>
      <c r="L509" t="s">
        <v>64</v>
      </c>
      <c r="M509" t="s">
        <v>32</v>
      </c>
      <c r="N509" t="s">
        <v>246</v>
      </c>
      <c r="O509" t="s">
        <v>1886</v>
      </c>
      <c r="P509" t="s">
        <v>32</v>
      </c>
      <c r="Q509" t="s">
        <v>1899</v>
      </c>
      <c r="R509" s="3">
        <v>5</v>
      </c>
      <c r="S509" t="s">
        <v>32</v>
      </c>
      <c r="T509" s="1">
        <v>45559.749189814815</v>
      </c>
      <c r="U509" s="1">
        <v>45560.423148148147</v>
      </c>
      <c r="V509" s="2" t="s">
        <v>1900</v>
      </c>
    </row>
    <row r="510" spans="1:22" hidden="1" x14ac:dyDescent="0.45">
      <c r="A510" t="s">
        <v>1809</v>
      </c>
      <c r="B510" t="s">
        <v>309</v>
      </c>
      <c r="C510" t="s">
        <v>1901</v>
      </c>
      <c r="D510" t="s">
        <v>1902</v>
      </c>
      <c r="F510" t="s">
        <v>187</v>
      </c>
      <c r="G510" t="s">
        <v>188</v>
      </c>
      <c r="H510" t="s">
        <v>312</v>
      </c>
      <c r="I510" t="s">
        <v>313</v>
      </c>
      <c r="J510" t="s">
        <v>1903</v>
      </c>
      <c r="K510" t="s">
        <v>30</v>
      </c>
      <c r="L510" t="s">
        <v>331</v>
      </c>
      <c r="M510" t="s">
        <v>32</v>
      </c>
      <c r="N510" t="s">
        <v>32</v>
      </c>
      <c r="O510" t="s">
        <v>32</v>
      </c>
      <c r="P510" t="s">
        <v>32</v>
      </c>
      <c r="Q510" t="s">
        <v>1904</v>
      </c>
      <c r="R510" s="3" t="s">
        <v>32</v>
      </c>
      <c r="S510" t="s">
        <v>32</v>
      </c>
      <c r="T510" s="1">
        <v>45472.626423611109</v>
      </c>
      <c r="U510" s="1">
        <v>45496.710972222223</v>
      </c>
      <c r="V510" s="2" t="s">
        <v>1905</v>
      </c>
    </row>
    <row r="511" spans="1:22" hidden="1" x14ac:dyDescent="0.45">
      <c r="A511" t="s">
        <v>1809</v>
      </c>
      <c r="B511" t="s">
        <v>309</v>
      </c>
      <c r="C511" t="s">
        <v>1906</v>
      </c>
      <c r="D511" t="s">
        <v>1907</v>
      </c>
      <c r="F511" t="s">
        <v>187</v>
      </c>
      <c r="G511" t="s">
        <v>188</v>
      </c>
      <c r="H511" t="s">
        <v>312</v>
      </c>
      <c r="I511" t="s">
        <v>313</v>
      </c>
      <c r="J511" t="s">
        <v>1903</v>
      </c>
      <c r="K511" t="s">
        <v>30</v>
      </c>
      <c r="L511" t="s">
        <v>331</v>
      </c>
      <c r="M511" t="s">
        <v>32</v>
      </c>
      <c r="N511" t="s">
        <v>32</v>
      </c>
      <c r="O511" t="s">
        <v>32</v>
      </c>
      <c r="P511" t="s">
        <v>32</v>
      </c>
      <c r="Q511" t="s">
        <v>1908</v>
      </c>
      <c r="R511" s="3" t="s">
        <v>32</v>
      </c>
      <c r="S511" t="s">
        <v>32</v>
      </c>
      <c r="T511" s="1">
        <v>45472.625428240739</v>
      </c>
      <c r="U511" s="1">
        <v>45496.710972222223</v>
      </c>
      <c r="V511" s="2" t="s">
        <v>1909</v>
      </c>
    </row>
    <row r="512" spans="1:22" hidden="1" x14ac:dyDescent="0.45">
      <c r="A512" t="s">
        <v>1809</v>
      </c>
      <c r="B512" t="s">
        <v>309</v>
      </c>
      <c r="C512" t="s">
        <v>1910</v>
      </c>
      <c r="D512" t="s">
        <v>1911</v>
      </c>
      <c r="F512" t="s">
        <v>187</v>
      </c>
      <c r="G512" t="s">
        <v>188</v>
      </c>
      <c r="H512" t="s">
        <v>312</v>
      </c>
      <c r="I512" t="s">
        <v>313</v>
      </c>
      <c r="J512" t="s">
        <v>1912</v>
      </c>
      <c r="K512" t="s">
        <v>30</v>
      </c>
      <c r="L512" t="s">
        <v>331</v>
      </c>
      <c r="M512" t="s">
        <v>32</v>
      </c>
      <c r="N512" t="s">
        <v>32</v>
      </c>
      <c r="O512" t="s">
        <v>32</v>
      </c>
      <c r="P512" t="s">
        <v>32</v>
      </c>
      <c r="Q512" t="s">
        <v>1913</v>
      </c>
      <c r="R512" s="3" t="s">
        <v>32</v>
      </c>
      <c r="S512" t="s">
        <v>32</v>
      </c>
      <c r="T512" s="1">
        <v>45474.494641203702</v>
      </c>
      <c r="U512" s="1">
        <v>45496.710972222223</v>
      </c>
      <c r="V512" s="2" t="s">
        <v>1914</v>
      </c>
    </row>
    <row r="513" spans="1:22" hidden="1" x14ac:dyDescent="0.45">
      <c r="A513" t="s">
        <v>1809</v>
      </c>
      <c r="B513" t="s">
        <v>309</v>
      </c>
      <c r="C513" t="s">
        <v>1915</v>
      </c>
      <c r="D513" t="s">
        <v>1916</v>
      </c>
      <c r="F513" t="s">
        <v>187</v>
      </c>
      <c r="G513" t="s">
        <v>188</v>
      </c>
      <c r="H513" t="s">
        <v>312</v>
      </c>
      <c r="I513" t="s">
        <v>313</v>
      </c>
      <c r="J513" t="s">
        <v>1912</v>
      </c>
      <c r="K513" t="s">
        <v>30</v>
      </c>
      <c r="L513" t="s">
        <v>331</v>
      </c>
      <c r="M513" t="s">
        <v>32</v>
      </c>
      <c r="N513" t="s">
        <v>32</v>
      </c>
      <c r="O513" t="s">
        <v>32</v>
      </c>
      <c r="P513" t="s">
        <v>32</v>
      </c>
      <c r="Q513" t="s">
        <v>1917</v>
      </c>
      <c r="R513" s="3" t="s">
        <v>32</v>
      </c>
      <c r="S513" t="s">
        <v>32</v>
      </c>
      <c r="T513" s="1">
        <v>45464.642453703702</v>
      </c>
      <c r="U513" s="1">
        <v>45496.710972222223</v>
      </c>
      <c r="V513" s="2" t="s">
        <v>1918</v>
      </c>
    </row>
    <row r="514" spans="1:22" hidden="1" x14ac:dyDescent="0.45">
      <c r="A514" t="s">
        <v>1809</v>
      </c>
      <c r="B514" t="s">
        <v>672</v>
      </c>
      <c r="C514" t="s">
        <v>1919</v>
      </c>
      <c r="D514" t="s">
        <v>1920</v>
      </c>
      <c r="F514" t="s">
        <v>326</v>
      </c>
      <c r="G514" t="s">
        <v>188</v>
      </c>
      <c r="H514" t="s">
        <v>189</v>
      </c>
      <c r="I514" t="s">
        <v>190</v>
      </c>
      <c r="J514" t="s">
        <v>1921</v>
      </c>
      <c r="K514" t="s">
        <v>30</v>
      </c>
      <c r="L514" t="s">
        <v>1922</v>
      </c>
      <c r="M514" t="s">
        <v>32</v>
      </c>
      <c r="N514" t="s">
        <v>32</v>
      </c>
      <c r="O514" t="s">
        <v>32</v>
      </c>
      <c r="P514" t="s">
        <v>32</v>
      </c>
      <c r="Q514" t="s">
        <v>1923</v>
      </c>
      <c r="R514" s="3">
        <v>5</v>
      </c>
      <c r="S514" t="s">
        <v>32</v>
      </c>
      <c r="T514" s="1">
        <v>45464.632777777777</v>
      </c>
      <c r="U514" s="1">
        <v>45496.711516203701</v>
      </c>
      <c r="V514" s="2" t="s">
        <v>1924</v>
      </c>
    </row>
    <row r="515" spans="1:22" hidden="1" x14ac:dyDescent="0.45">
      <c r="A515" t="s">
        <v>1809</v>
      </c>
      <c r="B515" t="s">
        <v>691</v>
      </c>
      <c r="C515" t="s">
        <v>1925</v>
      </c>
      <c r="D515" t="s">
        <v>1926</v>
      </c>
      <c r="F515" t="s">
        <v>71</v>
      </c>
      <c r="G515" t="s">
        <v>188</v>
      </c>
      <c r="H515" t="s">
        <v>189</v>
      </c>
      <c r="I515" t="s">
        <v>190</v>
      </c>
      <c r="J515" t="s">
        <v>1927</v>
      </c>
      <c r="K515" t="s">
        <v>30</v>
      </c>
      <c r="L515" t="s">
        <v>1928</v>
      </c>
      <c r="M515" t="s">
        <v>32</v>
      </c>
      <c r="N515" t="s">
        <v>32</v>
      </c>
      <c r="O515" t="s">
        <v>32</v>
      </c>
      <c r="P515" t="s">
        <v>32</v>
      </c>
      <c r="Q515" t="s">
        <v>1929</v>
      </c>
      <c r="R515" s="3">
        <v>5</v>
      </c>
      <c r="S515" t="s">
        <v>32</v>
      </c>
      <c r="T515" s="1">
        <v>45443.493472222224</v>
      </c>
      <c r="U515" s="1">
        <v>45496.714444444442</v>
      </c>
      <c r="V515" s="2" t="s">
        <v>1930</v>
      </c>
    </row>
    <row r="516" spans="1:22" hidden="1" x14ac:dyDescent="0.45">
      <c r="A516" t="s">
        <v>1809</v>
      </c>
      <c r="B516" t="s">
        <v>691</v>
      </c>
      <c r="C516" t="s">
        <v>1931</v>
      </c>
      <c r="D516" t="s">
        <v>1591</v>
      </c>
      <c r="F516" t="s">
        <v>71</v>
      </c>
      <c r="G516" t="s">
        <v>188</v>
      </c>
      <c r="H516" t="s">
        <v>189</v>
      </c>
      <c r="I516" t="s">
        <v>190</v>
      </c>
      <c r="J516" t="s">
        <v>1927</v>
      </c>
      <c r="K516" t="s">
        <v>30</v>
      </c>
      <c r="L516" t="s">
        <v>1928</v>
      </c>
      <c r="M516" t="s">
        <v>32</v>
      </c>
      <c r="N516" t="s">
        <v>32</v>
      </c>
      <c r="O516" t="s">
        <v>32</v>
      </c>
      <c r="P516" t="s">
        <v>32</v>
      </c>
      <c r="Q516" t="s">
        <v>1932</v>
      </c>
      <c r="R516" s="3">
        <v>5</v>
      </c>
      <c r="S516" t="s">
        <v>32</v>
      </c>
      <c r="T516" s="1">
        <v>45464.638935185183</v>
      </c>
      <c r="U516" s="1">
        <v>45496.714444444442</v>
      </c>
      <c r="V516" s="2" t="s">
        <v>1933</v>
      </c>
    </row>
    <row r="517" spans="1:22" hidden="1" x14ac:dyDescent="0.45">
      <c r="A517" t="s">
        <v>1809</v>
      </c>
      <c r="B517" t="s">
        <v>691</v>
      </c>
      <c r="C517" t="s">
        <v>1934</v>
      </c>
      <c r="D517" t="s">
        <v>1935</v>
      </c>
      <c r="F517" t="s">
        <v>71</v>
      </c>
      <c r="G517" t="s">
        <v>188</v>
      </c>
      <c r="H517" t="s">
        <v>189</v>
      </c>
      <c r="I517" t="s">
        <v>190</v>
      </c>
      <c r="J517" t="s">
        <v>1927</v>
      </c>
      <c r="K517" t="s">
        <v>30</v>
      </c>
      <c r="L517" t="s">
        <v>1928</v>
      </c>
      <c r="M517" t="s">
        <v>32</v>
      </c>
      <c r="N517" t="s">
        <v>32</v>
      </c>
      <c r="O517" t="s">
        <v>32</v>
      </c>
      <c r="P517" t="s">
        <v>32</v>
      </c>
      <c r="Q517" t="s">
        <v>1936</v>
      </c>
      <c r="R517" s="3">
        <v>5</v>
      </c>
      <c r="S517" t="s">
        <v>32</v>
      </c>
      <c r="T517" s="1">
        <v>45443.500185185185</v>
      </c>
      <c r="U517" s="1">
        <v>45496.714444444442</v>
      </c>
      <c r="V517" s="2" t="s">
        <v>1937</v>
      </c>
    </row>
    <row r="518" spans="1:22" hidden="1" x14ac:dyDescent="0.45">
      <c r="A518" t="s">
        <v>1809</v>
      </c>
      <c r="B518" t="s">
        <v>691</v>
      </c>
      <c r="C518" t="s">
        <v>1938</v>
      </c>
      <c r="D518" t="s">
        <v>1939</v>
      </c>
      <c r="F518" t="s">
        <v>71</v>
      </c>
      <c r="G518" t="s">
        <v>188</v>
      </c>
      <c r="H518" t="s">
        <v>189</v>
      </c>
      <c r="I518" t="s">
        <v>190</v>
      </c>
      <c r="J518" t="s">
        <v>1927</v>
      </c>
      <c r="K518" t="s">
        <v>30</v>
      </c>
      <c r="L518" t="s">
        <v>1928</v>
      </c>
      <c r="M518" t="s">
        <v>32</v>
      </c>
      <c r="N518" t="s">
        <v>32</v>
      </c>
      <c r="O518" t="s">
        <v>32</v>
      </c>
      <c r="P518" t="s">
        <v>32</v>
      </c>
      <c r="Q518" t="s">
        <v>1940</v>
      </c>
      <c r="R518" s="3">
        <v>5</v>
      </c>
      <c r="S518" t="s">
        <v>32</v>
      </c>
      <c r="T518" s="1">
        <v>45443.535497685189</v>
      </c>
      <c r="U518" s="1">
        <v>45496.714444444442</v>
      </c>
      <c r="V518" s="2" t="s">
        <v>1941</v>
      </c>
    </row>
    <row r="519" spans="1:22" hidden="1" x14ac:dyDescent="0.45">
      <c r="A519" t="s">
        <v>1809</v>
      </c>
      <c r="B519" t="s">
        <v>691</v>
      </c>
      <c r="C519" t="s">
        <v>1942</v>
      </c>
      <c r="D519" t="s">
        <v>1943</v>
      </c>
      <c r="F519" t="s">
        <v>71</v>
      </c>
      <c r="G519" t="s">
        <v>188</v>
      </c>
      <c r="H519" t="s">
        <v>189</v>
      </c>
      <c r="I519" t="s">
        <v>190</v>
      </c>
      <c r="J519" t="s">
        <v>1927</v>
      </c>
      <c r="K519" t="s">
        <v>30</v>
      </c>
      <c r="L519" t="s">
        <v>1928</v>
      </c>
      <c r="M519" t="s">
        <v>32</v>
      </c>
      <c r="N519" t="s">
        <v>32</v>
      </c>
      <c r="O519" t="s">
        <v>32</v>
      </c>
      <c r="P519" t="s">
        <v>32</v>
      </c>
      <c r="Q519" t="s">
        <v>1944</v>
      </c>
      <c r="R519" s="3">
        <v>5</v>
      </c>
      <c r="S519" t="s">
        <v>32</v>
      </c>
      <c r="T519" s="1">
        <v>45506.611145833333</v>
      </c>
      <c r="U519" s="1">
        <v>45506.611608796295</v>
      </c>
      <c r="V519" s="2" t="s">
        <v>1945</v>
      </c>
    </row>
    <row r="520" spans="1:22" hidden="1" x14ac:dyDescent="0.45">
      <c r="A520" t="s">
        <v>1809</v>
      </c>
      <c r="B520" t="s">
        <v>696</v>
      </c>
      <c r="C520" t="s">
        <v>1946</v>
      </c>
      <c r="D520" t="s">
        <v>1947</v>
      </c>
      <c r="F520" t="s">
        <v>71</v>
      </c>
      <c r="G520" t="s">
        <v>188</v>
      </c>
      <c r="H520" t="s">
        <v>189</v>
      </c>
      <c r="I520" t="s">
        <v>190</v>
      </c>
      <c r="J520" t="s">
        <v>1948</v>
      </c>
      <c r="K520" t="s">
        <v>30</v>
      </c>
      <c r="L520" t="s">
        <v>1949</v>
      </c>
      <c r="M520" t="s">
        <v>32</v>
      </c>
      <c r="N520" t="s">
        <v>32</v>
      </c>
      <c r="O520" t="s">
        <v>32</v>
      </c>
      <c r="P520" t="s">
        <v>32</v>
      </c>
      <c r="Q520" t="s">
        <v>1950</v>
      </c>
      <c r="R520" s="3">
        <v>5</v>
      </c>
      <c r="S520" t="s">
        <v>32</v>
      </c>
      <c r="T520" s="1">
        <v>45443.543136574073</v>
      </c>
      <c r="U520" s="1">
        <v>45496.715173611112</v>
      </c>
      <c r="V520" s="2" t="s">
        <v>1951</v>
      </c>
    </row>
    <row r="521" spans="1:22" hidden="1" x14ac:dyDescent="0.45">
      <c r="A521" t="s">
        <v>1809</v>
      </c>
      <c r="B521" t="s">
        <v>696</v>
      </c>
      <c r="C521" t="s">
        <v>1952</v>
      </c>
      <c r="D521" t="s">
        <v>1953</v>
      </c>
      <c r="F521" t="s">
        <v>71</v>
      </c>
      <c r="G521" t="s">
        <v>188</v>
      </c>
      <c r="H521" t="s">
        <v>189</v>
      </c>
      <c r="I521" t="s">
        <v>190</v>
      </c>
      <c r="J521" t="s">
        <v>1948</v>
      </c>
      <c r="K521" t="s">
        <v>30</v>
      </c>
      <c r="L521" t="s">
        <v>1954</v>
      </c>
      <c r="M521" t="s">
        <v>32</v>
      </c>
      <c r="N521" t="s">
        <v>32</v>
      </c>
      <c r="O521" t="s">
        <v>32</v>
      </c>
      <c r="P521" t="s">
        <v>32</v>
      </c>
      <c r="Q521" t="s">
        <v>1955</v>
      </c>
      <c r="R521" s="3">
        <v>5</v>
      </c>
      <c r="S521" t="s">
        <v>32</v>
      </c>
      <c r="T521" s="1">
        <v>45450.624039351853</v>
      </c>
      <c r="U521" s="1">
        <v>45496.715173611112</v>
      </c>
      <c r="V521" s="2" t="s">
        <v>1956</v>
      </c>
    </row>
    <row r="522" spans="1:22" hidden="1" x14ac:dyDescent="0.45">
      <c r="A522" t="s">
        <v>1809</v>
      </c>
      <c r="B522" t="s">
        <v>696</v>
      </c>
      <c r="C522" t="s">
        <v>1957</v>
      </c>
      <c r="D522" t="s">
        <v>1958</v>
      </c>
      <c r="F522" t="s">
        <v>71</v>
      </c>
      <c r="G522" t="s">
        <v>188</v>
      </c>
      <c r="H522" t="s">
        <v>189</v>
      </c>
      <c r="I522" t="s">
        <v>190</v>
      </c>
      <c r="J522" t="s">
        <v>1959</v>
      </c>
      <c r="K522" t="s">
        <v>30</v>
      </c>
      <c r="L522" t="s">
        <v>1949</v>
      </c>
      <c r="M522" t="s">
        <v>32</v>
      </c>
      <c r="N522" t="s">
        <v>32</v>
      </c>
      <c r="O522" t="s">
        <v>32</v>
      </c>
      <c r="P522" t="s">
        <v>32</v>
      </c>
      <c r="Q522" t="s">
        <v>1960</v>
      </c>
      <c r="R522" s="3">
        <v>5</v>
      </c>
      <c r="S522" t="s">
        <v>32</v>
      </c>
      <c r="T522" s="1">
        <v>45464.626597222225</v>
      </c>
      <c r="U522" s="1">
        <v>45496.715173611112</v>
      </c>
      <c r="V522" s="2" t="s">
        <v>1961</v>
      </c>
    </row>
    <row r="523" spans="1:22" hidden="1" x14ac:dyDescent="0.45">
      <c r="A523" t="s">
        <v>1809</v>
      </c>
      <c r="B523" t="s">
        <v>696</v>
      </c>
      <c r="C523" t="s">
        <v>1962</v>
      </c>
      <c r="D523" t="s">
        <v>1963</v>
      </c>
      <c r="F523" t="s">
        <v>71</v>
      </c>
      <c r="G523" t="s">
        <v>188</v>
      </c>
      <c r="H523" t="s">
        <v>189</v>
      </c>
      <c r="I523" t="s">
        <v>190</v>
      </c>
      <c r="J523" t="s">
        <v>1964</v>
      </c>
      <c r="K523" t="s">
        <v>30</v>
      </c>
      <c r="L523" t="s">
        <v>1954</v>
      </c>
      <c r="M523" t="s">
        <v>32</v>
      </c>
      <c r="N523" t="s">
        <v>32</v>
      </c>
      <c r="O523" t="s">
        <v>32</v>
      </c>
      <c r="P523" t="s">
        <v>32</v>
      </c>
      <c r="Q523" t="s">
        <v>1965</v>
      </c>
      <c r="R523" s="3">
        <v>5</v>
      </c>
      <c r="S523" t="s">
        <v>32</v>
      </c>
      <c r="T523" s="1">
        <v>45497.65179398148</v>
      </c>
      <c r="U523" s="1">
        <v>45554.630706018521</v>
      </c>
      <c r="V523" s="2" t="s">
        <v>1966</v>
      </c>
    </row>
    <row r="524" spans="1:22" hidden="1" x14ac:dyDescent="0.45">
      <c r="A524" t="s">
        <v>1809</v>
      </c>
      <c r="B524" t="s">
        <v>696</v>
      </c>
      <c r="C524" t="s">
        <v>1967</v>
      </c>
      <c r="D524" t="s">
        <v>1968</v>
      </c>
      <c r="F524" t="s">
        <v>71</v>
      </c>
      <c r="G524" t="s">
        <v>188</v>
      </c>
      <c r="H524" t="s">
        <v>189</v>
      </c>
      <c r="I524" t="s">
        <v>190</v>
      </c>
      <c r="J524" t="s">
        <v>1959</v>
      </c>
      <c r="K524" t="s">
        <v>30</v>
      </c>
      <c r="L524" t="s">
        <v>1949</v>
      </c>
      <c r="M524" t="s">
        <v>32</v>
      </c>
      <c r="N524" t="s">
        <v>32</v>
      </c>
      <c r="O524" t="s">
        <v>32</v>
      </c>
      <c r="P524" t="s">
        <v>32</v>
      </c>
      <c r="Q524" t="s">
        <v>1969</v>
      </c>
      <c r="R524" s="3">
        <v>5</v>
      </c>
      <c r="S524" t="s">
        <v>32</v>
      </c>
      <c r="T524" s="1">
        <v>45537.503518518519</v>
      </c>
      <c r="U524" s="1">
        <v>45541.615960648145</v>
      </c>
      <c r="V524" s="2" t="s">
        <v>1970</v>
      </c>
    </row>
    <row r="525" spans="1:22" hidden="1" x14ac:dyDescent="0.45">
      <c r="A525" t="s">
        <v>1809</v>
      </c>
      <c r="B525" t="s">
        <v>696</v>
      </c>
      <c r="C525" t="s">
        <v>1971</v>
      </c>
      <c r="D525" t="s">
        <v>1972</v>
      </c>
      <c r="F525" t="s">
        <v>71</v>
      </c>
      <c r="G525" t="s">
        <v>188</v>
      </c>
      <c r="H525" t="s">
        <v>189</v>
      </c>
      <c r="I525" t="s">
        <v>190</v>
      </c>
      <c r="J525" t="s">
        <v>1959</v>
      </c>
      <c r="K525" t="s">
        <v>30</v>
      </c>
      <c r="L525" t="s">
        <v>1949</v>
      </c>
      <c r="M525" t="s">
        <v>32</v>
      </c>
      <c r="N525" t="s">
        <v>32</v>
      </c>
      <c r="O525" t="s">
        <v>32</v>
      </c>
      <c r="P525" t="s">
        <v>32</v>
      </c>
      <c r="Q525" t="s">
        <v>1973</v>
      </c>
      <c r="R525" s="3">
        <v>5</v>
      </c>
      <c r="S525" t="s">
        <v>32</v>
      </c>
      <c r="T525" s="1">
        <v>45537.515879629631</v>
      </c>
      <c r="U525" s="1">
        <v>45541.616053240738</v>
      </c>
      <c r="V525" s="2" t="s">
        <v>1974</v>
      </c>
    </row>
    <row r="526" spans="1:22" hidden="1" x14ac:dyDescent="0.45">
      <c r="A526" t="s">
        <v>1809</v>
      </c>
      <c r="B526" t="s">
        <v>701</v>
      </c>
      <c r="C526" t="s">
        <v>1975</v>
      </c>
      <c r="D526" t="s">
        <v>1976</v>
      </c>
      <c r="F526" t="s">
        <v>71</v>
      </c>
      <c r="G526" t="s">
        <v>188</v>
      </c>
      <c r="H526" t="s">
        <v>189</v>
      </c>
      <c r="I526" t="s">
        <v>190</v>
      </c>
      <c r="J526" t="s">
        <v>1977</v>
      </c>
      <c r="K526" t="s">
        <v>30</v>
      </c>
      <c r="L526" t="s">
        <v>705</v>
      </c>
      <c r="M526" t="s">
        <v>32</v>
      </c>
      <c r="N526" t="s">
        <v>32</v>
      </c>
      <c r="O526" t="s">
        <v>32</v>
      </c>
      <c r="P526" t="s">
        <v>32</v>
      </c>
      <c r="Q526" t="s">
        <v>1978</v>
      </c>
      <c r="R526" s="3">
        <v>5</v>
      </c>
      <c r="S526" t="s">
        <v>32</v>
      </c>
      <c r="T526" s="1">
        <v>45443.485729166663</v>
      </c>
      <c r="U526" s="1">
        <v>45496.715173611112</v>
      </c>
      <c r="V526" s="2" t="s">
        <v>1979</v>
      </c>
    </row>
    <row r="527" spans="1:22" hidden="1" x14ac:dyDescent="0.45">
      <c r="A527" t="s">
        <v>1809</v>
      </c>
      <c r="B527" t="s">
        <v>701</v>
      </c>
      <c r="C527" t="s">
        <v>1980</v>
      </c>
      <c r="D527" t="s">
        <v>1981</v>
      </c>
      <c r="F527" t="s">
        <v>71</v>
      </c>
      <c r="G527" t="s">
        <v>188</v>
      </c>
      <c r="H527" t="s">
        <v>189</v>
      </c>
      <c r="I527" t="s">
        <v>190</v>
      </c>
      <c r="J527" t="s">
        <v>1977</v>
      </c>
      <c r="K527" t="s">
        <v>30</v>
      </c>
      <c r="L527" t="s">
        <v>705</v>
      </c>
      <c r="M527" t="s">
        <v>32</v>
      </c>
      <c r="N527" t="s">
        <v>32</v>
      </c>
      <c r="O527" t="s">
        <v>32</v>
      </c>
      <c r="P527" t="s">
        <v>32</v>
      </c>
      <c r="Q527" t="s">
        <v>1982</v>
      </c>
      <c r="R527" s="3">
        <v>5</v>
      </c>
      <c r="S527" t="s">
        <v>32</v>
      </c>
      <c r="T527" s="1">
        <v>45537.494872685187</v>
      </c>
      <c r="U527" s="1">
        <v>45544.530023148145</v>
      </c>
      <c r="V527" s="2" t="s">
        <v>1983</v>
      </c>
    </row>
    <row r="528" spans="1:22" hidden="1" x14ac:dyDescent="0.45">
      <c r="A528" t="s">
        <v>1809</v>
      </c>
      <c r="B528" t="s">
        <v>1984</v>
      </c>
      <c r="C528" t="s">
        <v>1985</v>
      </c>
      <c r="D528" t="s">
        <v>1986</v>
      </c>
      <c r="F528" t="s">
        <v>32</v>
      </c>
      <c r="G528" t="s">
        <v>188</v>
      </c>
      <c r="H528" t="s">
        <v>189</v>
      </c>
      <c r="I528" t="s">
        <v>1987</v>
      </c>
      <c r="J528" t="s">
        <v>1988</v>
      </c>
      <c r="K528" t="s">
        <v>30</v>
      </c>
      <c r="L528" t="s">
        <v>1986</v>
      </c>
      <c r="M528" t="s">
        <v>32</v>
      </c>
      <c r="N528" t="s">
        <v>32</v>
      </c>
      <c r="O528" t="s">
        <v>32</v>
      </c>
      <c r="P528" t="s">
        <v>32</v>
      </c>
      <c r="Q528" t="s">
        <v>1989</v>
      </c>
      <c r="R528" s="3" t="s">
        <v>32</v>
      </c>
      <c r="S528" t="s">
        <v>32</v>
      </c>
      <c r="T528" s="1">
        <v>45572.54111111111</v>
      </c>
      <c r="U528" s="1">
        <v>45573.486574074072</v>
      </c>
      <c r="V528" s="2" t="s">
        <v>1990</v>
      </c>
    </row>
    <row r="529" spans="1:22" hidden="1" x14ac:dyDescent="0.45">
      <c r="A529" t="s">
        <v>1809</v>
      </c>
      <c r="B529" t="s">
        <v>1984</v>
      </c>
      <c r="C529" t="s">
        <v>1991</v>
      </c>
      <c r="D529" t="s">
        <v>1992</v>
      </c>
      <c r="F529" t="s">
        <v>32</v>
      </c>
      <c r="G529" t="s">
        <v>188</v>
      </c>
      <c r="H529" t="s">
        <v>189</v>
      </c>
      <c r="I529" t="s">
        <v>1987</v>
      </c>
      <c r="J529" t="s">
        <v>1993</v>
      </c>
      <c r="K529" t="s">
        <v>30</v>
      </c>
      <c r="L529" t="s">
        <v>1992</v>
      </c>
      <c r="M529" t="s">
        <v>32</v>
      </c>
      <c r="N529" t="s">
        <v>32</v>
      </c>
      <c r="O529" t="s">
        <v>32</v>
      </c>
      <c r="P529" t="s">
        <v>32</v>
      </c>
      <c r="Q529" t="s">
        <v>1994</v>
      </c>
      <c r="R529" s="3" t="s">
        <v>32</v>
      </c>
      <c r="S529" t="s">
        <v>32</v>
      </c>
      <c r="T529" s="1">
        <v>45572.541620370372</v>
      </c>
      <c r="U529" s="1">
        <v>45573.486921296295</v>
      </c>
      <c r="V529" s="2" t="s">
        <v>1995</v>
      </c>
    </row>
    <row r="530" spans="1:22" hidden="1" x14ac:dyDescent="0.45">
      <c r="A530" t="s">
        <v>1809</v>
      </c>
      <c r="B530" t="s">
        <v>1996</v>
      </c>
      <c r="C530" t="s">
        <v>1997</v>
      </c>
      <c r="D530" t="s">
        <v>1998</v>
      </c>
      <c r="F530" t="s">
        <v>71</v>
      </c>
      <c r="G530" t="s">
        <v>188</v>
      </c>
      <c r="H530" t="s">
        <v>32</v>
      </c>
      <c r="I530" t="s">
        <v>32</v>
      </c>
      <c r="J530" t="s">
        <v>1999</v>
      </c>
      <c r="K530" t="s">
        <v>30</v>
      </c>
      <c r="L530" t="s">
        <v>32</v>
      </c>
      <c r="M530" t="s">
        <v>32</v>
      </c>
      <c r="N530" t="s">
        <v>32</v>
      </c>
      <c r="O530" t="s">
        <v>32</v>
      </c>
      <c r="P530" t="s">
        <v>32</v>
      </c>
      <c r="Q530" t="s">
        <v>2000</v>
      </c>
      <c r="R530" s="3" t="s">
        <v>32</v>
      </c>
      <c r="S530" t="s">
        <v>32</v>
      </c>
      <c r="T530" s="1">
        <v>45575.452847222223</v>
      </c>
      <c r="U530" s="1">
        <v>45575.459953703707</v>
      </c>
      <c r="V530" s="2" t="s">
        <v>2001</v>
      </c>
    </row>
    <row r="531" spans="1:22" hidden="1" x14ac:dyDescent="0.45">
      <c r="A531" t="s">
        <v>1809</v>
      </c>
      <c r="B531" t="s">
        <v>2002</v>
      </c>
      <c r="C531" t="s">
        <v>2003</v>
      </c>
      <c r="D531" t="s">
        <v>2004</v>
      </c>
      <c r="F531" t="s">
        <v>71</v>
      </c>
      <c r="G531" t="s">
        <v>188</v>
      </c>
      <c r="H531" t="s">
        <v>32</v>
      </c>
      <c r="I531" t="s">
        <v>32</v>
      </c>
      <c r="J531" t="s">
        <v>2005</v>
      </c>
      <c r="K531" t="s">
        <v>30</v>
      </c>
      <c r="L531" t="s">
        <v>32</v>
      </c>
      <c r="M531" t="s">
        <v>32</v>
      </c>
      <c r="N531" t="s">
        <v>32</v>
      </c>
      <c r="O531" t="s">
        <v>32</v>
      </c>
      <c r="P531" t="s">
        <v>32</v>
      </c>
      <c r="Q531" t="s">
        <v>2006</v>
      </c>
      <c r="R531" s="3" t="s">
        <v>32</v>
      </c>
      <c r="S531" t="s">
        <v>32</v>
      </c>
      <c r="T531" s="1">
        <v>45575.453877314816</v>
      </c>
      <c r="U531" s="1">
        <v>45575.460138888891</v>
      </c>
      <c r="V531" s="2" t="s">
        <v>2007</v>
      </c>
    </row>
    <row r="532" spans="1:22" hidden="1" x14ac:dyDescent="0.45">
      <c r="A532" t="s">
        <v>1809</v>
      </c>
      <c r="B532" t="s">
        <v>2008</v>
      </c>
      <c r="C532" t="s">
        <v>2009</v>
      </c>
      <c r="D532" t="s">
        <v>2010</v>
      </c>
      <c r="F532" t="s">
        <v>71</v>
      </c>
      <c r="G532" t="s">
        <v>188</v>
      </c>
      <c r="H532" t="s">
        <v>32</v>
      </c>
      <c r="I532" t="s">
        <v>32</v>
      </c>
      <c r="J532" t="s">
        <v>32</v>
      </c>
      <c r="K532" t="s">
        <v>30</v>
      </c>
      <c r="L532" t="s">
        <v>32</v>
      </c>
      <c r="M532" t="s">
        <v>32</v>
      </c>
      <c r="N532" t="s">
        <v>32</v>
      </c>
      <c r="O532" t="s">
        <v>32</v>
      </c>
      <c r="P532" t="s">
        <v>32</v>
      </c>
      <c r="Q532" t="s">
        <v>2011</v>
      </c>
      <c r="R532" s="3" t="s">
        <v>32</v>
      </c>
      <c r="S532" t="s">
        <v>32</v>
      </c>
      <c r="T532" s="1">
        <v>45575.455300925925</v>
      </c>
      <c r="U532" s="1">
        <v>45575.460243055553</v>
      </c>
      <c r="V532" s="2" t="s">
        <v>2012</v>
      </c>
    </row>
  </sheetData>
  <autoFilter ref="A1:V532" xr:uid="{00000000-0009-0000-0000-000000000000}">
    <filterColumn colId="0">
      <filters>
        <filter val="PDS - Shell &amp; Tube H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7"/>
  <sheetViews>
    <sheetView topLeftCell="C1" workbookViewId="0">
      <selection activeCell="D32" sqref="D32"/>
    </sheetView>
  </sheetViews>
  <sheetFormatPr defaultRowHeight="14.25" x14ac:dyDescent="0.45"/>
  <cols>
    <col min="1" max="1" width="20.1328125" hidden="1" customWidth="1"/>
    <col min="2" max="2" width="18.1328125" hidden="1" customWidth="1"/>
    <col min="3" max="3" width="11.265625" bestFit="1" customWidth="1"/>
    <col min="4" max="4" width="30.265625" bestFit="1" customWidth="1"/>
    <col min="5" max="5" width="8.3984375" hidden="1" customWidth="1"/>
    <col min="6" max="6" width="11.265625" hidden="1" customWidth="1"/>
    <col min="7" max="7" width="10.3984375" hidden="1" customWidth="1"/>
    <col min="8" max="8" width="13.59765625" customWidth="1"/>
    <col min="9" max="9" width="9.3984375" bestFit="1" customWidth="1"/>
    <col min="10" max="10" width="12.3984375" bestFit="1" customWidth="1"/>
    <col min="11" max="11" width="6.3984375" bestFit="1" customWidth="1"/>
    <col min="12" max="12" width="10.265625" bestFit="1" customWidth="1"/>
    <col min="13" max="13" width="6.1328125" customWidth="1"/>
    <col min="14" max="14" width="10.59765625" customWidth="1"/>
    <col min="15" max="15" width="10.1328125" customWidth="1"/>
    <col min="16" max="16" width="12.1328125" customWidth="1"/>
    <col min="17" max="17" width="9.265625" customWidth="1"/>
    <col min="18" max="18" width="7.86328125" customWidth="1"/>
    <col min="19" max="19" width="7.59765625" customWidth="1"/>
    <col min="20" max="20" width="19.73046875" bestFit="1" customWidth="1"/>
    <col min="21" max="21" width="20" bestFit="1" customWidth="1"/>
    <col min="22" max="22" width="19.265625" bestFit="1" customWidth="1"/>
    <col min="23" max="23" width="20" bestFit="1" customWidth="1"/>
    <col min="24" max="24" width="19.265625" bestFit="1" customWidth="1"/>
  </cols>
  <sheetData>
    <row r="1" spans="1:24" x14ac:dyDescent="0.45">
      <c r="T1" s="3"/>
      <c r="V1" s="1"/>
      <c r="W1" s="1"/>
      <c r="X1" s="2"/>
    </row>
    <row r="2" spans="1:24" x14ac:dyDescent="0.45">
      <c r="A2" t="s">
        <v>712</v>
      </c>
      <c r="B2" t="s">
        <v>22</v>
      </c>
      <c r="C2" t="s">
        <v>719</v>
      </c>
      <c r="D2" t="s">
        <v>43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32</v>
      </c>
      <c r="O2" t="s">
        <v>32</v>
      </c>
      <c r="P2" t="s">
        <v>33</v>
      </c>
      <c r="Q2" t="s">
        <v>720</v>
      </c>
      <c r="R2" s="3">
        <v>3</v>
      </c>
      <c r="S2" t="s">
        <v>32</v>
      </c>
      <c r="T2" s="1">
        <v>45015.532847222225</v>
      </c>
      <c r="U2" s="1">
        <v>45428.537268518521</v>
      </c>
      <c r="V2" s="2" t="s">
        <v>721</v>
      </c>
    </row>
    <row r="3" spans="1:24" x14ac:dyDescent="0.45">
      <c r="A3" t="s">
        <v>712</v>
      </c>
      <c r="B3" t="s">
        <v>22</v>
      </c>
      <c r="C3" t="s">
        <v>713</v>
      </c>
      <c r="D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32</v>
      </c>
      <c r="O3" t="s">
        <v>32</v>
      </c>
      <c r="P3" t="s">
        <v>33</v>
      </c>
      <c r="Q3" t="s">
        <v>714</v>
      </c>
      <c r="R3" s="3">
        <v>21</v>
      </c>
      <c r="S3" t="s">
        <v>32</v>
      </c>
      <c r="T3" s="1">
        <v>45015.532847222225</v>
      </c>
      <c r="U3" s="1">
        <v>45428.534050925926</v>
      </c>
      <c r="V3" s="2" t="s">
        <v>715</v>
      </c>
    </row>
    <row r="4" spans="1:24" x14ac:dyDescent="0.45">
      <c r="A4" t="s">
        <v>712</v>
      </c>
      <c r="B4" t="s">
        <v>22</v>
      </c>
      <c r="C4" t="s">
        <v>770</v>
      </c>
      <c r="D4" t="s">
        <v>771</v>
      </c>
      <c r="F4" t="s">
        <v>233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32</v>
      </c>
      <c r="O4" t="s">
        <v>32</v>
      </c>
      <c r="P4" t="s">
        <v>33</v>
      </c>
      <c r="Q4" t="s">
        <v>772</v>
      </c>
      <c r="R4" s="3">
        <v>3</v>
      </c>
      <c r="S4" t="s">
        <v>32</v>
      </c>
      <c r="T4" s="1">
        <v>45015.532858796294</v>
      </c>
      <c r="U4" s="1">
        <v>45545.7033912037</v>
      </c>
      <c r="V4" s="2" t="s">
        <v>773</v>
      </c>
    </row>
    <row r="5" spans="1:24" x14ac:dyDescent="0.45">
      <c r="A5" t="s">
        <v>712</v>
      </c>
      <c r="B5" t="s">
        <v>22</v>
      </c>
      <c r="C5" t="s">
        <v>770</v>
      </c>
      <c r="D5" t="s">
        <v>771</v>
      </c>
      <c r="F5" t="s">
        <v>233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32</v>
      </c>
      <c r="O5" t="s">
        <v>32</v>
      </c>
      <c r="P5" t="s">
        <v>33</v>
      </c>
      <c r="Q5" t="s">
        <v>772</v>
      </c>
      <c r="R5" s="3">
        <v>3</v>
      </c>
      <c r="S5" t="s">
        <v>32</v>
      </c>
      <c r="T5" s="1">
        <v>45015.532858796294</v>
      </c>
      <c r="U5" s="1">
        <v>45545.7033912037</v>
      </c>
      <c r="V5" s="2" t="s">
        <v>773</v>
      </c>
    </row>
    <row r="6" spans="1:24" x14ac:dyDescent="0.45">
      <c r="A6" t="s">
        <v>712</v>
      </c>
      <c r="B6" t="s">
        <v>661</v>
      </c>
      <c r="C6" t="s">
        <v>954</v>
      </c>
      <c r="D6" t="s">
        <v>955</v>
      </c>
      <c r="F6" t="s">
        <v>25</v>
      </c>
      <c r="G6" t="s">
        <v>26</v>
      </c>
      <c r="H6" t="s">
        <v>663</v>
      </c>
      <c r="I6" t="s">
        <v>28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956</v>
      </c>
      <c r="R6" s="3" t="s">
        <v>32</v>
      </c>
      <c r="S6" t="s">
        <v>32</v>
      </c>
      <c r="T6" s="1">
        <v>45015.532881944448</v>
      </c>
      <c r="U6" s="1">
        <v>45423.743321759262</v>
      </c>
      <c r="V6" s="2" t="s">
        <v>957</v>
      </c>
    </row>
    <row r="7" spans="1:24" x14ac:dyDescent="0.45">
      <c r="A7" t="s">
        <v>712</v>
      </c>
      <c r="B7" t="s">
        <v>946</v>
      </c>
      <c r="C7" t="s">
        <v>947</v>
      </c>
      <c r="D7" t="s">
        <v>946</v>
      </c>
      <c r="F7" t="s">
        <v>76</v>
      </c>
      <c r="G7" t="s">
        <v>26</v>
      </c>
      <c r="H7" t="s">
        <v>27</v>
      </c>
      <c r="I7" t="s">
        <v>28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948</v>
      </c>
      <c r="R7" s="3" t="s">
        <v>32</v>
      </c>
      <c r="S7" t="s">
        <v>32</v>
      </c>
      <c r="T7" s="1">
        <v>45015.532881944448</v>
      </c>
      <c r="U7" s="1">
        <v>45423.741759259261</v>
      </c>
      <c r="V7" s="2" t="s">
        <v>949</v>
      </c>
    </row>
    <row r="8" spans="1:24" x14ac:dyDescent="0.45">
      <c r="A8" t="s">
        <v>712</v>
      </c>
      <c r="B8" t="s">
        <v>22</v>
      </c>
      <c r="C8" t="s">
        <v>777</v>
      </c>
      <c r="D8" t="s">
        <v>778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32</v>
      </c>
      <c r="O8" t="s">
        <v>32</v>
      </c>
      <c r="P8" t="s">
        <v>33</v>
      </c>
      <c r="Q8" t="s">
        <v>779</v>
      </c>
      <c r="R8" s="3">
        <v>22</v>
      </c>
      <c r="S8" t="s">
        <v>32</v>
      </c>
      <c r="T8" s="1">
        <v>45015.532858796294</v>
      </c>
      <c r="U8" s="1">
        <v>45436.588449074072</v>
      </c>
      <c r="V8" s="2" t="s">
        <v>780</v>
      </c>
    </row>
    <row r="9" spans="1:24" x14ac:dyDescent="0.45">
      <c r="A9" t="s">
        <v>712</v>
      </c>
      <c r="B9" t="s">
        <v>672</v>
      </c>
      <c r="C9" t="s">
        <v>968</v>
      </c>
      <c r="D9" t="s">
        <v>969</v>
      </c>
      <c r="F9" t="s">
        <v>326</v>
      </c>
      <c r="G9" t="s">
        <v>26</v>
      </c>
      <c r="H9" t="s">
        <v>2013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970</v>
      </c>
      <c r="R9" s="3" t="s">
        <v>32</v>
      </c>
      <c r="S9" t="s">
        <v>32</v>
      </c>
      <c r="T9" s="1">
        <v>45015.532881944448</v>
      </c>
      <c r="U9" s="1">
        <v>45423.74422453704</v>
      </c>
      <c r="V9" s="2" t="s">
        <v>971</v>
      </c>
    </row>
    <row r="10" spans="1:24" x14ac:dyDescent="0.45">
      <c r="A10" t="s">
        <v>712</v>
      </c>
      <c r="B10" t="s">
        <v>661</v>
      </c>
      <c r="C10" t="s">
        <v>950</v>
      </c>
      <c r="D10" t="s">
        <v>951</v>
      </c>
      <c r="F10" t="s">
        <v>326</v>
      </c>
      <c r="G10" t="s">
        <v>26</v>
      </c>
      <c r="H10" t="s">
        <v>663</v>
      </c>
      <c r="I10" t="s">
        <v>28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952</v>
      </c>
      <c r="R10" s="3" t="s">
        <v>32</v>
      </c>
      <c r="S10" t="s">
        <v>32</v>
      </c>
      <c r="T10" s="1">
        <v>45015.532881944448</v>
      </c>
      <c r="U10" s="1">
        <v>45423.741990740738</v>
      </c>
      <c r="V10" s="2" t="s">
        <v>953</v>
      </c>
    </row>
    <row r="11" spans="1:24" x14ac:dyDescent="0.45">
      <c r="A11" t="s">
        <v>712</v>
      </c>
      <c r="B11" t="s">
        <v>905</v>
      </c>
      <c r="C11" t="s">
        <v>914</v>
      </c>
      <c r="D11" t="s">
        <v>642</v>
      </c>
      <c r="F11" t="s">
        <v>85</v>
      </c>
      <c r="G11" t="s">
        <v>26</v>
      </c>
      <c r="H11" t="s">
        <v>2013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915</v>
      </c>
      <c r="R11" s="3" t="s">
        <v>32</v>
      </c>
      <c r="S11" t="s">
        <v>32</v>
      </c>
      <c r="T11" s="1">
        <v>45015.532870370371</v>
      </c>
      <c r="U11" s="1">
        <v>45423.739108796297</v>
      </c>
      <c r="V11" s="2" t="s">
        <v>916</v>
      </c>
    </row>
    <row r="12" spans="1:24" x14ac:dyDescent="0.45">
      <c r="A12" t="s">
        <v>712</v>
      </c>
      <c r="B12" t="s">
        <v>905</v>
      </c>
      <c r="C12" t="s">
        <v>910</v>
      </c>
      <c r="D12" t="s">
        <v>911</v>
      </c>
      <c r="F12" t="s">
        <v>85</v>
      </c>
      <c r="G12" t="s">
        <v>26</v>
      </c>
      <c r="H12" t="s">
        <v>2013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912</v>
      </c>
      <c r="R12" s="3" t="s">
        <v>32</v>
      </c>
      <c r="S12" t="s">
        <v>32</v>
      </c>
      <c r="T12" s="1">
        <v>45015.532870370371</v>
      </c>
      <c r="U12" s="1">
        <v>45423.739351851851</v>
      </c>
      <c r="V12" s="2" t="s">
        <v>913</v>
      </c>
    </row>
    <row r="13" spans="1:24" x14ac:dyDescent="0.45">
      <c r="A13" t="s">
        <v>712</v>
      </c>
      <c r="B13" t="s">
        <v>22</v>
      </c>
      <c r="C13" t="s">
        <v>730</v>
      </c>
      <c r="D13" t="s">
        <v>47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32</v>
      </c>
      <c r="O13" t="s">
        <v>32</v>
      </c>
      <c r="P13" t="s">
        <v>33</v>
      </c>
      <c r="Q13" t="s">
        <v>731</v>
      </c>
      <c r="R13" s="3">
        <v>10</v>
      </c>
      <c r="S13" t="s">
        <v>32</v>
      </c>
      <c r="T13" s="1">
        <v>45015.532847222225</v>
      </c>
      <c r="U13" s="1">
        <v>45428.708090277774</v>
      </c>
      <c r="V13" s="2" t="s">
        <v>732</v>
      </c>
    </row>
    <row r="14" spans="1:24" x14ac:dyDescent="0.45">
      <c r="A14" t="s">
        <v>712</v>
      </c>
      <c r="B14" t="s">
        <v>22</v>
      </c>
      <c r="C14" t="s">
        <v>726</v>
      </c>
      <c r="D14" t="s">
        <v>727</v>
      </c>
      <c r="F14" t="s">
        <v>76</v>
      </c>
      <c r="G14" t="s">
        <v>188</v>
      </c>
      <c r="H14" t="s">
        <v>189</v>
      </c>
      <c r="I14" t="s">
        <v>287</v>
      </c>
      <c r="J14" t="s">
        <v>29</v>
      </c>
      <c r="K14" t="s">
        <v>30</v>
      </c>
      <c r="L14" t="s">
        <v>31</v>
      </c>
      <c r="M14" t="s">
        <v>32</v>
      </c>
      <c r="N14" t="s">
        <v>32</v>
      </c>
      <c r="O14" t="s">
        <v>32</v>
      </c>
      <c r="P14" t="s">
        <v>33</v>
      </c>
      <c r="Q14" t="s">
        <v>728</v>
      </c>
      <c r="R14" s="3" t="s">
        <v>32</v>
      </c>
      <c r="S14" t="s">
        <v>32</v>
      </c>
      <c r="T14" s="1">
        <v>45504.600127314814</v>
      </c>
      <c r="U14" s="1">
        <v>45505.7421875</v>
      </c>
      <c r="V14" s="2" t="s">
        <v>729</v>
      </c>
    </row>
    <row r="15" spans="1:24" x14ac:dyDescent="0.45">
      <c r="A15" t="s">
        <v>712</v>
      </c>
      <c r="B15" t="s">
        <v>298</v>
      </c>
      <c r="C15" t="s">
        <v>895</v>
      </c>
      <c r="D15" t="s">
        <v>300</v>
      </c>
      <c r="F15" t="s">
        <v>85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302</v>
      </c>
      <c r="M15" t="s">
        <v>32</v>
      </c>
      <c r="N15" t="s">
        <v>32</v>
      </c>
      <c r="O15" t="s">
        <v>32</v>
      </c>
      <c r="P15" t="s">
        <v>32</v>
      </c>
      <c r="Q15" t="s">
        <v>896</v>
      </c>
      <c r="R15" s="3" t="s">
        <v>32</v>
      </c>
      <c r="S15" t="s">
        <v>32</v>
      </c>
      <c r="T15" s="1">
        <v>45015.532870370371</v>
      </c>
      <c r="U15" s="1">
        <v>45015.532870370371</v>
      </c>
      <c r="V15" s="2" t="s">
        <v>897</v>
      </c>
    </row>
    <row r="16" spans="1:24" x14ac:dyDescent="0.45">
      <c r="A16" t="s">
        <v>712</v>
      </c>
      <c r="B16" t="s">
        <v>309</v>
      </c>
      <c r="C16" t="s">
        <v>922</v>
      </c>
      <c r="D16" t="s">
        <v>311</v>
      </c>
      <c r="F16" t="s">
        <v>233</v>
      </c>
      <c r="G16" t="s">
        <v>26</v>
      </c>
      <c r="H16" t="s">
        <v>2014</v>
      </c>
      <c r="I16" t="s">
        <v>2015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923</v>
      </c>
      <c r="R16" s="3" t="s">
        <v>32</v>
      </c>
      <c r="S16" t="s">
        <v>32</v>
      </c>
      <c r="T16" s="1">
        <v>45015.532870370371</v>
      </c>
      <c r="U16" s="1">
        <v>45015.532870370371</v>
      </c>
      <c r="V16" s="2" t="s">
        <v>924</v>
      </c>
    </row>
    <row r="17" spans="1:22" x14ac:dyDescent="0.45">
      <c r="A17" t="s">
        <v>712</v>
      </c>
      <c r="B17" t="s">
        <v>22</v>
      </c>
      <c r="C17" t="s">
        <v>789</v>
      </c>
      <c r="D17" t="s">
        <v>142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 t="s">
        <v>30</v>
      </c>
      <c r="L17" t="s">
        <v>31</v>
      </c>
      <c r="M17" t="s">
        <v>32</v>
      </c>
      <c r="N17" t="s">
        <v>32</v>
      </c>
      <c r="O17" t="s">
        <v>32</v>
      </c>
      <c r="P17" t="s">
        <v>33</v>
      </c>
      <c r="Q17" t="s">
        <v>790</v>
      </c>
      <c r="R17" s="3">
        <v>3</v>
      </c>
      <c r="S17" t="s">
        <v>32</v>
      </c>
      <c r="T17" s="1">
        <v>45015.532858796294</v>
      </c>
      <c r="U17" s="1">
        <v>45428.723020833335</v>
      </c>
      <c r="V17" s="2" t="s">
        <v>791</v>
      </c>
    </row>
    <row r="18" spans="1:22" x14ac:dyDescent="0.45">
      <c r="A18" t="s">
        <v>712</v>
      </c>
      <c r="B18" t="s">
        <v>22</v>
      </c>
      <c r="C18" t="s">
        <v>757</v>
      </c>
      <c r="D18" t="s">
        <v>93</v>
      </c>
      <c r="F18" t="s">
        <v>71</v>
      </c>
      <c r="G18" t="s">
        <v>188</v>
      </c>
      <c r="H18" t="s">
        <v>189</v>
      </c>
      <c r="I18" t="s">
        <v>190</v>
      </c>
      <c r="J18" t="s">
        <v>29</v>
      </c>
      <c r="K18" t="s">
        <v>30</v>
      </c>
      <c r="L18" t="s">
        <v>31</v>
      </c>
      <c r="M18" t="s">
        <v>32</v>
      </c>
      <c r="N18" t="s">
        <v>32</v>
      </c>
      <c r="O18" t="s">
        <v>32</v>
      </c>
      <c r="P18" t="s">
        <v>33</v>
      </c>
      <c r="Q18" t="s">
        <v>758</v>
      </c>
      <c r="R18" s="3">
        <v>10</v>
      </c>
      <c r="S18" t="s">
        <v>32</v>
      </c>
      <c r="T18" s="1">
        <v>45015.532858796294</v>
      </c>
      <c r="U18" s="1">
        <v>45428.719201388885</v>
      </c>
      <c r="V18" s="2" t="s">
        <v>759</v>
      </c>
    </row>
    <row r="19" spans="1:22" x14ac:dyDescent="0.45">
      <c r="A19" t="s">
        <v>712</v>
      </c>
      <c r="B19" t="s">
        <v>22</v>
      </c>
      <c r="C19" t="s">
        <v>751</v>
      </c>
      <c r="D19" t="s">
        <v>84</v>
      </c>
      <c r="F19" t="s">
        <v>85</v>
      </c>
      <c r="G19" t="s">
        <v>26</v>
      </c>
      <c r="H19" t="s">
        <v>27</v>
      </c>
      <c r="I19" t="s">
        <v>28</v>
      </c>
      <c r="J19" t="s">
        <v>29</v>
      </c>
      <c r="K19" t="s">
        <v>30</v>
      </c>
      <c r="L19" t="s">
        <v>31</v>
      </c>
      <c r="M19" t="s">
        <v>32</v>
      </c>
      <c r="N19" t="s">
        <v>32</v>
      </c>
      <c r="O19" t="s">
        <v>32</v>
      </c>
      <c r="P19" t="s">
        <v>33</v>
      </c>
      <c r="Q19" t="s">
        <v>752</v>
      </c>
      <c r="R19" s="3">
        <v>3</v>
      </c>
      <c r="S19" t="s">
        <v>32</v>
      </c>
      <c r="T19" s="1">
        <v>45015.532847222225</v>
      </c>
      <c r="U19" s="1">
        <v>45428.720671296294</v>
      </c>
      <c r="V19" s="2" t="s">
        <v>753</v>
      </c>
    </row>
    <row r="20" spans="1:22" x14ac:dyDescent="0.45">
      <c r="A20" t="s">
        <v>712</v>
      </c>
      <c r="B20" t="s">
        <v>298</v>
      </c>
      <c r="C20" t="s">
        <v>901</v>
      </c>
      <c r="D20" t="s">
        <v>902</v>
      </c>
      <c r="F20" t="s">
        <v>85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302</v>
      </c>
      <c r="M20" t="s">
        <v>32</v>
      </c>
      <c r="N20" t="s">
        <v>32</v>
      </c>
      <c r="O20" t="s">
        <v>32</v>
      </c>
      <c r="P20" t="s">
        <v>32</v>
      </c>
      <c r="Q20" t="s">
        <v>903</v>
      </c>
      <c r="R20" s="3" t="s">
        <v>32</v>
      </c>
      <c r="S20" t="s">
        <v>32</v>
      </c>
      <c r="T20" s="1">
        <v>45015.532870370371</v>
      </c>
      <c r="U20" s="1">
        <v>45015.532870370371</v>
      </c>
      <c r="V20" s="2" t="s">
        <v>904</v>
      </c>
    </row>
    <row r="21" spans="1:22" x14ac:dyDescent="0.45">
      <c r="A21" t="s">
        <v>712</v>
      </c>
      <c r="B21" t="s">
        <v>22</v>
      </c>
      <c r="C21" t="s">
        <v>802</v>
      </c>
      <c r="D21" t="s">
        <v>158</v>
      </c>
      <c r="F21" t="s">
        <v>25</v>
      </c>
      <c r="G21" t="s">
        <v>188</v>
      </c>
      <c r="H21" t="s">
        <v>189</v>
      </c>
      <c r="I21" t="s">
        <v>190</v>
      </c>
      <c r="J21" t="s">
        <v>29</v>
      </c>
      <c r="K21" t="s">
        <v>30</v>
      </c>
      <c r="L21" t="s">
        <v>31</v>
      </c>
      <c r="M21" t="s">
        <v>32</v>
      </c>
      <c r="N21" t="s">
        <v>32</v>
      </c>
      <c r="O21" t="s">
        <v>32</v>
      </c>
      <c r="P21" t="s">
        <v>33</v>
      </c>
      <c r="Q21" t="s">
        <v>803</v>
      </c>
      <c r="R21" s="3">
        <v>3</v>
      </c>
      <c r="S21" t="s">
        <v>32</v>
      </c>
      <c r="T21" s="1">
        <v>45015.532858796294</v>
      </c>
      <c r="U21" s="1">
        <v>45428.722060185188</v>
      </c>
      <c r="V21" s="2" t="s">
        <v>804</v>
      </c>
    </row>
    <row r="22" spans="1:22" x14ac:dyDescent="0.45">
      <c r="A22" t="s">
        <v>712</v>
      </c>
      <c r="B22" t="s">
        <v>22</v>
      </c>
      <c r="C22" t="s">
        <v>745</v>
      </c>
      <c r="D22" t="s">
        <v>75</v>
      </c>
      <c r="F22" t="s">
        <v>76</v>
      </c>
      <c r="G22" t="s">
        <v>188</v>
      </c>
      <c r="H22" t="s">
        <v>189</v>
      </c>
      <c r="I22" t="s">
        <v>190</v>
      </c>
      <c r="J22" t="s">
        <v>29</v>
      </c>
      <c r="K22" t="s">
        <v>30</v>
      </c>
      <c r="L22" t="s">
        <v>31</v>
      </c>
      <c r="M22" t="s">
        <v>32</v>
      </c>
      <c r="N22" t="s">
        <v>32</v>
      </c>
      <c r="O22" t="s">
        <v>32</v>
      </c>
      <c r="P22" t="s">
        <v>33</v>
      </c>
      <c r="Q22" t="s">
        <v>746</v>
      </c>
      <c r="R22" s="3">
        <v>15</v>
      </c>
      <c r="S22" t="s">
        <v>32</v>
      </c>
      <c r="T22" s="1">
        <v>45015.532847222225</v>
      </c>
      <c r="U22" s="1">
        <v>45428.719907407409</v>
      </c>
      <c r="V22" s="2" t="s">
        <v>747</v>
      </c>
    </row>
    <row r="23" spans="1:22" x14ac:dyDescent="0.45">
      <c r="A23" t="s">
        <v>712</v>
      </c>
      <c r="B23" t="s">
        <v>22</v>
      </c>
      <c r="C23" t="s">
        <v>774</v>
      </c>
      <c r="D23" t="s">
        <v>443</v>
      </c>
      <c r="F23" t="s">
        <v>71</v>
      </c>
      <c r="G23" t="s">
        <v>188</v>
      </c>
      <c r="H23" t="s">
        <v>189</v>
      </c>
      <c r="I23" t="s">
        <v>190</v>
      </c>
      <c r="J23" t="s">
        <v>29</v>
      </c>
      <c r="K23" t="s">
        <v>30</v>
      </c>
      <c r="L23" t="s">
        <v>31</v>
      </c>
      <c r="M23" t="s">
        <v>32</v>
      </c>
      <c r="N23" t="s">
        <v>32</v>
      </c>
      <c r="O23" t="s">
        <v>32</v>
      </c>
      <c r="P23" t="s">
        <v>33</v>
      </c>
      <c r="Q23" t="s">
        <v>775</v>
      </c>
      <c r="R23" s="3">
        <v>5</v>
      </c>
      <c r="S23" t="s">
        <v>32</v>
      </c>
      <c r="T23" s="1">
        <v>45015.532858796294</v>
      </c>
      <c r="U23" s="1">
        <v>45428.721805555557</v>
      </c>
      <c r="V23" s="2" t="s">
        <v>776</v>
      </c>
    </row>
    <row r="24" spans="1:22" x14ac:dyDescent="0.45">
      <c r="A24" t="s">
        <v>712</v>
      </c>
      <c r="B24" t="s">
        <v>22</v>
      </c>
      <c r="C24" t="s">
        <v>774</v>
      </c>
      <c r="D24" t="s">
        <v>443</v>
      </c>
      <c r="F24" t="s">
        <v>71</v>
      </c>
      <c r="G24" t="s">
        <v>188</v>
      </c>
      <c r="H24" t="s">
        <v>189</v>
      </c>
      <c r="I24" t="s">
        <v>190</v>
      </c>
      <c r="J24" t="s">
        <v>29</v>
      </c>
      <c r="K24" t="s">
        <v>30</v>
      </c>
      <c r="L24" t="s">
        <v>31</v>
      </c>
      <c r="M24" t="s">
        <v>32</v>
      </c>
      <c r="N24" t="s">
        <v>32</v>
      </c>
      <c r="O24" t="s">
        <v>32</v>
      </c>
      <c r="P24" t="s">
        <v>33</v>
      </c>
      <c r="Q24" t="s">
        <v>775</v>
      </c>
      <c r="R24" s="3">
        <v>5</v>
      </c>
      <c r="S24" t="s">
        <v>32</v>
      </c>
      <c r="T24" s="1">
        <v>45015.532858796294</v>
      </c>
      <c r="U24" s="1">
        <v>45428.721805555557</v>
      </c>
      <c r="V24" s="2" t="s">
        <v>776</v>
      </c>
    </row>
    <row r="25" spans="1:22" x14ac:dyDescent="0.45">
      <c r="A25" t="s">
        <v>712</v>
      </c>
      <c r="B25" t="s">
        <v>22</v>
      </c>
      <c r="C25" t="s">
        <v>808</v>
      </c>
      <c r="D25" t="s">
        <v>469</v>
      </c>
      <c r="F25" t="s">
        <v>71</v>
      </c>
      <c r="G25" t="s">
        <v>26</v>
      </c>
      <c r="H25" t="s">
        <v>27</v>
      </c>
      <c r="I25" t="s">
        <v>28</v>
      </c>
      <c r="J25" t="s">
        <v>29</v>
      </c>
      <c r="K25" t="s">
        <v>30</v>
      </c>
      <c r="L25" t="s">
        <v>31</v>
      </c>
      <c r="M25" t="s">
        <v>32</v>
      </c>
      <c r="N25" t="s">
        <v>32</v>
      </c>
      <c r="O25" t="s">
        <v>32</v>
      </c>
      <c r="P25" t="s">
        <v>33</v>
      </c>
      <c r="Q25" t="s">
        <v>809</v>
      </c>
      <c r="R25" s="3">
        <v>10</v>
      </c>
      <c r="S25" t="s">
        <v>32</v>
      </c>
      <c r="T25" s="1">
        <v>45015.532858796294</v>
      </c>
      <c r="U25" s="1">
        <v>45441.490104166667</v>
      </c>
      <c r="V25" s="2" t="s">
        <v>810</v>
      </c>
    </row>
    <row r="26" spans="1:22" x14ac:dyDescent="0.45">
      <c r="A26" t="s">
        <v>712</v>
      </c>
      <c r="B26" t="s">
        <v>22</v>
      </c>
      <c r="C26" t="s">
        <v>808</v>
      </c>
      <c r="D26" t="s">
        <v>469</v>
      </c>
      <c r="F26" t="s">
        <v>71</v>
      </c>
      <c r="G26" t="s">
        <v>26</v>
      </c>
      <c r="H26" t="s">
        <v>27</v>
      </c>
      <c r="I26" t="s">
        <v>28</v>
      </c>
      <c r="J26" t="s">
        <v>29</v>
      </c>
      <c r="K26" t="s">
        <v>30</v>
      </c>
      <c r="L26" t="s">
        <v>31</v>
      </c>
      <c r="M26" t="s">
        <v>32</v>
      </c>
      <c r="N26" t="s">
        <v>32</v>
      </c>
      <c r="O26" t="s">
        <v>32</v>
      </c>
      <c r="P26" t="s">
        <v>33</v>
      </c>
      <c r="Q26" t="s">
        <v>809</v>
      </c>
      <c r="R26" s="3">
        <v>10</v>
      </c>
      <c r="S26" t="s">
        <v>32</v>
      </c>
      <c r="T26" s="1">
        <v>45015.532858796294</v>
      </c>
      <c r="U26" s="1">
        <v>45441.490104166667</v>
      </c>
      <c r="V26" s="2" t="s">
        <v>810</v>
      </c>
    </row>
    <row r="27" spans="1:22" x14ac:dyDescent="0.45">
      <c r="A27" t="s">
        <v>712</v>
      </c>
      <c r="B27" t="s">
        <v>372</v>
      </c>
      <c r="C27" t="s">
        <v>975</v>
      </c>
      <c r="D27" t="s">
        <v>372</v>
      </c>
      <c r="F27" t="s">
        <v>56</v>
      </c>
      <c r="G27" t="s">
        <v>188</v>
      </c>
      <c r="H27" t="s">
        <v>189</v>
      </c>
      <c r="I27" t="s">
        <v>287</v>
      </c>
      <c r="J27" t="s">
        <v>374</v>
      </c>
      <c r="K27" t="s">
        <v>30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976</v>
      </c>
      <c r="R27" s="3" t="s">
        <v>32</v>
      </c>
      <c r="S27" t="s">
        <v>32</v>
      </c>
      <c r="T27" s="1">
        <v>45015.532881944448</v>
      </c>
      <c r="U27" s="1">
        <v>45427.425925925927</v>
      </c>
      <c r="V27" s="2" t="s">
        <v>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F40"/>
  <sheetViews>
    <sheetView topLeftCell="D1" zoomScale="57" zoomScaleNormal="62" workbookViewId="0">
      <selection activeCell="X17" sqref="X17"/>
    </sheetView>
  </sheetViews>
  <sheetFormatPr defaultRowHeight="14.25" x14ac:dyDescent="0.45"/>
  <cols>
    <col min="1" max="1" width="20.1328125" customWidth="1"/>
    <col min="2" max="2" width="11.265625" customWidth="1"/>
    <col min="3" max="3" width="32" customWidth="1"/>
    <col min="4" max="4" width="18.1328125" bestFit="1" customWidth="1"/>
    <col min="5" max="5" width="7.59765625" customWidth="1"/>
    <col min="6" max="6" width="16.3984375" customWidth="1"/>
    <col min="7" max="7" width="14.73046875" customWidth="1"/>
    <col min="8" max="8" width="12.265625" customWidth="1"/>
    <col min="9" max="9" width="17.73046875" customWidth="1"/>
    <col min="10" max="10" width="32.73046875" bestFit="1" customWidth="1"/>
    <col min="11" max="11" width="15.1328125" bestFit="1" customWidth="1"/>
    <col min="12" max="12" width="12.86328125" hidden="1" customWidth="1"/>
    <col min="13" max="13" width="20.73046875" hidden="1" customWidth="1"/>
    <col min="14" max="14" width="19.3984375" hidden="1" customWidth="1"/>
    <col min="15" max="15" width="11.59765625" customWidth="1"/>
    <col min="16" max="16" width="13.265625" customWidth="1"/>
    <col min="17" max="17" width="11.3984375" customWidth="1"/>
    <col min="18" max="18" width="12.265625" customWidth="1"/>
    <col min="19" max="19" width="38.59765625" customWidth="1"/>
    <col min="20" max="20" width="15.3984375" customWidth="1"/>
    <col min="21" max="21" width="13.73046875" customWidth="1"/>
    <col min="22" max="22" width="12.265625" customWidth="1"/>
    <col min="23" max="23" width="17.59765625" customWidth="1"/>
    <col min="24" max="24" width="14" customWidth="1"/>
    <col min="25" max="25" width="10.86328125" hidden="1" customWidth="1"/>
    <col min="26" max="26" width="7" hidden="1" customWidth="1"/>
    <col min="27" max="27" width="5" hidden="1" customWidth="1"/>
    <col min="28" max="28" width="19.73046875" hidden="1" customWidth="1"/>
    <col min="29" max="29" width="20" hidden="1" customWidth="1"/>
    <col min="30" max="30" width="19.265625" hidden="1" customWidth="1"/>
    <col min="31" max="31" width="15.3984375" customWidth="1"/>
    <col min="32" max="32" width="19.265625" bestFit="1" customWidth="1"/>
  </cols>
  <sheetData>
    <row r="2" spans="1:32" x14ac:dyDescent="0.45">
      <c r="G2" s="5" t="s">
        <v>2016</v>
      </c>
      <c r="H2" s="45">
        <v>100</v>
      </c>
      <c r="I2" s="5" t="s">
        <v>2017</v>
      </c>
      <c r="J2">
        <f>P2*J3</f>
        <v>420</v>
      </c>
      <c r="P2">
        <f>ROUNDUP(Q2/J3,0)</f>
        <v>105</v>
      </c>
      <c r="Q2">
        <f>H2/(((H3/1000)*PI())*(H4/1000))</f>
        <v>417.72950942754682</v>
      </c>
      <c r="S2" t="s">
        <v>2018</v>
      </c>
    </row>
    <row r="3" spans="1:32" x14ac:dyDescent="0.45">
      <c r="G3" s="5" t="s">
        <v>2019</v>
      </c>
      <c r="H3" s="45">
        <v>25.4</v>
      </c>
      <c r="I3" s="5" t="s">
        <v>2020</v>
      </c>
      <c r="J3" s="42">
        <v>4</v>
      </c>
    </row>
    <row r="4" spans="1:32" x14ac:dyDescent="0.45">
      <c r="G4" s="5" t="s">
        <v>2021</v>
      </c>
      <c r="H4" s="45">
        <v>3000</v>
      </c>
      <c r="I4" s="5" t="s">
        <v>2022</v>
      </c>
      <c r="J4">
        <f>ROUNDUP(((((J2^0.5)+1.25*(J3^0.5))*1.25*1.05*H3)+25)/10,0)*10</f>
        <v>800</v>
      </c>
    </row>
    <row r="5" spans="1:32" x14ac:dyDescent="0.45">
      <c r="G5" s="5" t="s">
        <v>2023</v>
      </c>
      <c r="H5" s="45">
        <v>1.6</v>
      </c>
      <c r="I5" s="5" t="s">
        <v>2024</v>
      </c>
      <c r="J5">
        <v>300</v>
      </c>
    </row>
    <row r="6" spans="1:32" x14ac:dyDescent="0.45">
      <c r="G6" s="5" t="s">
        <v>2025</v>
      </c>
      <c r="H6" s="45">
        <v>5</v>
      </c>
      <c r="I6" s="5" t="s">
        <v>2026</v>
      </c>
      <c r="J6">
        <v>200</v>
      </c>
    </row>
    <row r="7" spans="1:32" x14ac:dyDescent="0.45">
      <c r="G7" s="5"/>
      <c r="H7" s="5"/>
      <c r="I7" s="5"/>
    </row>
    <row r="11" spans="1:32" s="6" customFormat="1" x14ac:dyDescent="0.45">
      <c r="A11" s="24"/>
      <c r="B11" s="24"/>
      <c r="C11" s="24" t="s">
        <v>3</v>
      </c>
      <c r="D11" s="24" t="s">
        <v>1</v>
      </c>
      <c r="E11" s="24" t="s">
        <v>4</v>
      </c>
      <c r="F11" s="24" t="s">
        <v>5</v>
      </c>
      <c r="G11" s="24" t="s">
        <v>6</v>
      </c>
      <c r="H11" s="24" t="s">
        <v>7</v>
      </c>
      <c r="I11" s="24" t="s">
        <v>8</v>
      </c>
      <c r="J11" s="24" t="s">
        <v>9</v>
      </c>
      <c r="K11" s="24" t="s">
        <v>10</v>
      </c>
      <c r="L11" s="24" t="s">
        <v>11</v>
      </c>
      <c r="M11" s="24" t="s">
        <v>12</v>
      </c>
      <c r="N11" s="24" t="s">
        <v>13</v>
      </c>
      <c r="O11" s="24" t="s">
        <v>14</v>
      </c>
      <c r="P11" s="24" t="s">
        <v>2027</v>
      </c>
      <c r="Q11" s="24" t="s">
        <v>2028</v>
      </c>
      <c r="R11" s="24" t="s">
        <v>2029</v>
      </c>
      <c r="S11" s="24" t="s">
        <v>2030</v>
      </c>
      <c r="T11" s="24" t="s">
        <v>2031</v>
      </c>
      <c r="U11" s="24" t="s">
        <v>2032</v>
      </c>
      <c r="V11" s="24" t="s">
        <v>2033</v>
      </c>
      <c r="W11" s="24" t="s">
        <v>2034</v>
      </c>
      <c r="X11" s="24" t="s">
        <v>2035</v>
      </c>
      <c r="AB11" s="7"/>
      <c r="AD11" s="8"/>
      <c r="AE11" s="8"/>
      <c r="AF11" s="9"/>
    </row>
    <row r="12" spans="1:32" x14ac:dyDescent="0.45">
      <c r="A12" t="s">
        <v>712</v>
      </c>
      <c r="B12" t="s">
        <v>719</v>
      </c>
      <c r="C12" t="s">
        <v>43</v>
      </c>
      <c r="D12" t="s">
        <v>22</v>
      </c>
      <c r="E12" t="s">
        <v>25</v>
      </c>
      <c r="F12" t="s">
        <v>26</v>
      </c>
      <c r="G12" s="4" t="s">
        <v>27</v>
      </c>
      <c r="H12" s="4" t="s">
        <v>28</v>
      </c>
      <c r="I12" s="5" t="s">
        <v>29</v>
      </c>
      <c r="J12" s="5" t="s">
        <v>30</v>
      </c>
      <c r="K12" s="5" t="s">
        <v>31</v>
      </c>
      <c r="L12" t="s">
        <v>32</v>
      </c>
      <c r="M12" t="s">
        <v>32</v>
      </c>
      <c r="N12" t="s">
        <v>32</v>
      </c>
      <c r="O12" t="s">
        <v>33</v>
      </c>
      <c r="P12" s="20">
        <f>(J4+Q12)*PI()</f>
        <v>2528.9820861397834</v>
      </c>
      <c r="Q12" s="5">
        <f>VLOOKUP(J4,'Heat Exchanger Data'!C3:W227,2,0)</f>
        <v>5</v>
      </c>
      <c r="S12" s="5">
        <v>1</v>
      </c>
      <c r="U12" s="5">
        <f>(H4-Q17-Q17)+8</f>
        <v>2948</v>
      </c>
      <c r="V12" s="5"/>
      <c r="X12" s="23">
        <f>P12*U12*Q12*8*10^-6*S12</f>
        <v>298.21756759760325</v>
      </c>
      <c r="Z12" t="s">
        <v>720</v>
      </c>
      <c r="AA12" t="s">
        <v>32</v>
      </c>
      <c r="AB12" s="1">
        <v>45015.532847222225</v>
      </c>
      <c r="AC12" s="1">
        <v>45428.537268518521</v>
      </c>
      <c r="AD12" s="2" t="s">
        <v>721</v>
      </c>
    </row>
    <row r="13" spans="1:32" x14ac:dyDescent="0.45">
      <c r="A13" t="s">
        <v>712</v>
      </c>
      <c r="B13" t="s">
        <v>713</v>
      </c>
      <c r="C13" t="s">
        <v>24</v>
      </c>
      <c r="D13" t="s">
        <v>22</v>
      </c>
      <c r="E13" t="s">
        <v>25</v>
      </c>
      <c r="F13" t="s">
        <v>26</v>
      </c>
      <c r="G13" s="4" t="s">
        <v>27</v>
      </c>
      <c r="H13" s="4" t="s">
        <v>28</v>
      </c>
      <c r="I13" s="5" t="s">
        <v>29</v>
      </c>
      <c r="J13" s="5" t="s">
        <v>30</v>
      </c>
      <c r="K13" s="5" t="s">
        <v>31</v>
      </c>
      <c r="L13" t="s">
        <v>32</v>
      </c>
      <c r="M13" t="s">
        <v>32</v>
      </c>
      <c r="N13" t="s">
        <v>32</v>
      </c>
      <c r="O13" t="s">
        <v>33</v>
      </c>
      <c r="P13" s="4">
        <f>J4*1.1+50</f>
        <v>930.00000000000011</v>
      </c>
      <c r="Q13" s="5">
        <f>VLOOKUP(J4,'Heat Exchanger Data'!C4:W228,4,0)</f>
        <v>5</v>
      </c>
      <c r="S13" s="5">
        <v>2</v>
      </c>
      <c r="U13" s="5"/>
      <c r="V13" s="5"/>
      <c r="X13" s="23">
        <f>0.7854*(P13*P13)*Q13*8*10^-6*S13</f>
        <v>54.343396800000008</v>
      </c>
      <c r="Z13" t="s">
        <v>714</v>
      </c>
      <c r="AA13" t="s">
        <v>32</v>
      </c>
      <c r="AB13" s="1">
        <v>45015.532847222225</v>
      </c>
      <c r="AC13" s="1">
        <v>45428.534050925926</v>
      </c>
      <c r="AD13" s="2" t="s">
        <v>715</v>
      </c>
    </row>
    <row r="14" spans="1:32" x14ac:dyDescent="0.45">
      <c r="A14" t="s">
        <v>712</v>
      </c>
      <c r="B14" t="s">
        <v>770</v>
      </c>
      <c r="C14" t="s">
        <v>771</v>
      </c>
      <c r="D14" t="s">
        <v>22</v>
      </c>
      <c r="E14" t="s">
        <v>233</v>
      </c>
      <c r="F14" t="s">
        <v>26</v>
      </c>
      <c r="G14" s="4" t="s">
        <v>27</v>
      </c>
      <c r="H14" s="4" t="s">
        <v>28</v>
      </c>
      <c r="I14" s="5" t="s">
        <v>29</v>
      </c>
      <c r="J14" s="5" t="s">
        <v>30</v>
      </c>
      <c r="K14" s="5" t="s">
        <v>31</v>
      </c>
      <c r="L14" t="s">
        <v>32</v>
      </c>
      <c r="M14" t="s">
        <v>32</v>
      </c>
      <c r="N14" t="s">
        <v>32</v>
      </c>
      <c r="O14" t="s">
        <v>33</v>
      </c>
      <c r="P14" s="19">
        <f>(J4+Q14)*PI()</f>
        <v>2528.9820861397834</v>
      </c>
      <c r="Q14" s="5">
        <f>Q12</f>
        <v>5</v>
      </c>
      <c r="S14" s="5">
        <v>1</v>
      </c>
      <c r="U14" s="5">
        <f>J5</f>
        <v>300</v>
      </c>
      <c r="V14" s="5"/>
      <c r="X14" s="23">
        <f>P14*U14*Q14*8*10^-6*S14</f>
        <v>30.3477850336774</v>
      </c>
      <c r="Z14" t="s">
        <v>772</v>
      </c>
      <c r="AA14" t="s">
        <v>32</v>
      </c>
      <c r="AB14" s="1">
        <v>45015.532858796294</v>
      </c>
      <c r="AC14" s="1">
        <v>45545.7033912037</v>
      </c>
      <c r="AD14" s="2" t="s">
        <v>773</v>
      </c>
    </row>
    <row r="15" spans="1:32" x14ac:dyDescent="0.45">
      <c r="A15" t="s">
        <v>712</v>
      </c>
      <c r="B15" t="s">
        <v>770</v>
      </c>
      <c r="C15" t="s">
        <v>771</v>
      </c>
      <c r="D15" t="s">
        <v>22</v>
      </c>
      <c r="E15" t="s">
        <v>233</v>
      </c>
      <c r="F15" t="s">
        <v>26</v>
      </c>
      <c r="G15" s="4" t="s">
        <v>27</v>
      </c>
      <c r="H15" s="4" t="s">
        <v>28</v>
      </c>
      <c r="I15" s="5" t="s">
        <v>29</v>
      </c>
      <c r="J15" s="5" t="s">
        <v>30</v>
      </c>
      <c r="K15" s="5" t="s">
        <v>31</v>
      </c>
      <c r="L15" t="s">
        <v>32</v>
      </c>
      <c r="M15" t="s">
        <v>32</v>
      </c>
      <c r="N15" t="s">
        <v>32</v>
      </c>
      <c r="O15" t="s">
        <v>33</v>
      </c>
      <c r="P15" s="19">
        <f>(J4+Q15)*PI()</f>
        <v>2528.9820861397834</v>
      </c>
      <c r="Q15" s="5">
        <f>Q12</f>
        <v>5</v>
      </c>
      <c r="S15" s="5">
        <v>1</v>
      </c>
      <c r="U15" s="5">
        <f>J6</f>
        <v>200</v>
      </c>
      <c r="V15" s="5"/>
      <c r="X15" s="23">
        <f>P15*U15*Q15*8*10^-6*S15</f>
        <v>20.231856689118267</v>
      </c>
      <c r="Z15" t="s">
        <v>772</v>
      </c>
      <c r="AA15" t="s">
        <v>32</v>
      </c>
      <c r="AB15" s="1">
        <v>45015.532858796294</v>
      </c>
      <c r="AC15" s="1">
        <v>45545.7033912037</v>
      </c>
      <c r="AD15" s="2" t="s">
        <v>773</v>
      </c>
    </row>
    <row r="16" spans="1:32" x14ac:dyDescent="0.45">
      <c r="A16" t="s">
        <v>712</v>
      </c>
      <c r="B16" t="s">
        <v>954</v>
      </c>
      <c r="C16" t="s">
        <v>955</v>
      </c>
      <c r="D16" t="s">
        <v>661</v>
      </c>
      <c r="E16" t="s">
        <v>25</v>
      </c>
      <c r="F16" t="s">
        <v>26</v>
      </c>
      <c r="G16" s="4" t="s">
        <v>663</v>
      </c>
      <c r="H16" s="4" t="s">
        <v>28</v>
      </c>
      <c r="I16" s="5">
        <f>H3</f>
        <v>25.4</v>
      </c>
      <c r="J16" s="5" t="s">
        <v>30</v>
      </c>
      <c r="K16" s="5" t="s">
        <v>665</v>
      </c>
      <c r="L16" t="s">
        <v>32</v>
      </c>
      <c r="M16" t="s">
        <v>32</v>
      </c>
      <c r="N16" t="s">
        <v>32</v>
      </c>
      <c r="O16" t="s">
        <v>32</v>
      </c>
      <c r="P16" s="4"/>
      <c r="Q16" s="5">
        <f>H5</f>
        <v>1.6</v>
      </c>
      <c r="S16" s="5">
        <f>J2</f>
        <v>420</v>
      </c>
      <c r="U16" s="5"/>
      <c r="V16" s="5">
        <f>H4</f>
        <v>3000</v>
      </c>
      <c r="X16" s="23">
        <f>((I16-Q16)*PI())*V16*Q16*8*10^-6*S16</f>
        <v>1205.8890303468893</v>
      </c>
      <c r="Z16" t="s">
        <v>956</v>
      </c>
      <c r="AA16" t="s">
        <v>32</v>
      </c>
      <c r="AB16" s="1">
        <v>45015.532881944448</v>
      </c>
      <c r="AC16" s="1">
        <v>45423.743321759262</v>
      </c>
      <c r="AD16" s="2" t="s">
        <v>957</v>
      </c>
    </row>
    <row r="17" spans="1:30" x14ac:dyDescent="0.45">
      <c r="A17" t="s">
        <v>712</v>
      </c>
      <c r="B17" t="s">
        <v>947</v>
      </c>
      <c r="C17" t="s">
        <v>946</v>
      </c>
      <c r="D17" t="s">
        <v>946</v>
      </c>
      <c r="E17" t="s">
        <v>76</v>
      </c>
      <c r="F17" t="s">
        <v>26</v>
      </c>
      <c r="G17" s="4" t="s">
        <v>27</v>
      </c>
      <c r="H17" s="4" t="s">
        <v>28</v>
      </c>
      <c r="I17" s="5" t="s">
        <v>32</v>
      </c>
      <c r="J17" s="5" t="s">
        <v>30</v>
      </c>
      <c r="K17" s="5" t="s">
        <v>665</v>
      </c>
      <c r="L17" t="s">
        <v>32</v>
      </c>
      <c r="M17" t="s">
        <v>32</v>
      </c>
      <c r="N17" t="s">
        <v>32</v>
      </c>
      <c r="O17" t="s">
        <v>32</v>
      </c>
      <c r="P17" s="4">
        <f>VLOOKUP(J4,'Heat Exchanger Data'!C3:W227,15,0)+5</f>
        <v>817</v>
      </c>
      <c r="Q17" s="5">
        <f>VLOOKUP(J4,'Heat Exchanger Data'!C3:W227,5,0)+3</f>
        <v>30</v>
      </c>
      <c r="S17" s="5">
        <v>2</v>
      </c>
      <c r="U17" s="5"/>
      <c r="V17" s="5"/>
      <c r="X17" s="23">
        <f>0.7854*(P17*P17)*Q17*8*10^-6*S17</f>
        <v>251.63801308799998</v>
      </c>
      <c r="Z17" t="s">
        <v>948</v>
      </c>
      <c r="AA17" t="s">
        <v>32</v>
      </c>
      <c r="AB17" s="1">
        <v>45015.532881944448</v>
      </c>
      <c r="AC17" s="1">
        <v>45423.741759259261</v>
      </c>
      <c r="AD17" s="2" t="s">
        <v>949</v>
      </c>
    </row>
    <row r="18" spans="1:30" ht="14.25" customHeight="1" x14ac:dyDescent="0.45">
      <c r="A18" t="s">
        <v>712</v>
      </c>
      <c r="B18" t="s">
        <v>777</v>
      </c>
      <c r="C18" t="s">
        <v>778</v>
      </c>
      <c r="D18" t="s">
        <v>22</v>
      </c>
      <c r="E18" t="s">
        <v>25</v>
      </c>
      <c r="F18" t="s">
        <v>26</v>
      </c>
      <c r="G18" s="4" t="s">
        <v>27</v>
      </c>
      <c r="H18" s="4" t="s">
        <v>28</v>
      </c>
      <c r="I18" s="5" t="s">
        <v>29</v>
      </c>
      <c r="J18" s="5" t="s">
        <v>30</v>
      </c>
      <c r="K18" s="5" t="s">
        <v>31</v>
      </c>
      <c r="L18" t="s">
        <v>32</v>
      </c>
      <c r="M18" t="s">
        <v>32</v>
      </c>
      <c r="N18" t="s">
        <v>32</v>
      </c>
      <c r="O18" t="s">
        <v>33</v>
      </c>
      <c r="P18" s="4">
        <f>J4-5</f>
        <v>795</v>
      </c>
      <c r="Q18" s="5">
        <f>VLOOKUP(J4,'Heat Exchanger Data'!C3:W227,7,0)</f>
        <v>36</v>
      </c>
      <c r="S18" s="5">
        <f>H6</f>
        <v>5</v>
      </c>
      <c r="U18" s="5"/>
      <c r="V18" s="5"/>
      <c r="X18" s="23">
        <f>0.7854*(P18*P18)*Q18*8*10^-6*S18</f>
        <v>714.80510639999989</v>
      </c>
      <c r="Z18" t="s">
        <v>779</v>
      </c>
      <c r="AA18" t="s">
        <v>32</v>
      </c>
      <c r="AB18" s="1">
        <v>45015.532858796294</v>
      </c>
      <c r="AC18" s="1">
        <v>45436.588449074072</v>
      </c>
      <c r="AD18" s="2" t="s">
        <v>780</v>
      </c>
    </row>
    <row r="19" spans="1:30" x14ac:dyDescent="0.45">
      <c r="A19" t="s">
        <v>712</v>
      </c>
      <c r="B19" t="s">
        <v>968</v>
      </c>
      <c r="C19" t="s">
        <v>969</v>
      </c>
      <c r="D19" t="s">
        <v>672</v>
      </c>
      <c r="E19" t="s">
        <v>326</v>
      </c>
      <c r="F19" t="s">
        <v>26</v>
      </c>
      <c r="G19" s="4" t="s">
        <v>2013</v>
      </c>
      <c r="H19" s="4"/>
      <c r="I19" s="5">
        <f>VLOOKUP(J4,'Heat Exchanger Data'!C3:W227,17,0)</f>
        <v>925</v>
      </c>
      <c r="J19" s="5" t="s">
        <v>30</v>
      </c>
      <c r="K19" s="5" t="s">
        <v>1922</v>
      </c>
      <c r="L19" t="s">
        <v>32</v>
      </c>
      <c r="M19" t="s">
        <v>32</v>
      </c>
      <c r="N19" t="s">
        <v>32</v>
      </c>
      <c r="O19" t="s">
        <v>32</v>
      </c>
      <c r="P19" s="4"/>
      <c r="Q19" s="5"/>
      <c r="S19" s="5"/>
      <c r="U19" s="5"/>
      <c r="V19" s="5"/>
      <c r="X19" s="5"/>
      <c r="Z19" t="s">
        <v>970</v>
      </c>
      <c r="AA19" t="s">
        <v>32</v>
      </c>
      <c r="AB19" s="1">
        <v>45015.532881944448</v>
      </c>
      <c r="AC19" s="1">
        <v>45423.74422453704</v>
      </c>
      <c r="AD19" s="2" t="s">
        <v>971</v>
      </c>
    </row>
    <row r="20" spans="1:30" x14ac:dyDescent="0.45">
      <c r="A20" t="s">
        <v>712</v>
      </c>
      <c r="B20" t="s">
        <v>950</v>
      </c>
      <c r="C20" t="s">
        <v>951</v>
      </c>
      <c r="D20" t="s">
        <v>59</v>
      </c>
      <c r="E20" t="s">
        <v>326</v>
      </c>
      <c r="F20" t="s">
        <v>26</v>
      </c>
      <c r="G20" s="4" t="s">
        <v>663</v>
      </c>
      <c r="H20" s="4" t="s">
        <v>342</v>
      </c>
      <c r="I20" s="5">
        <f>VLOOKUP(J4,'Heat Exchanger Data'!C4:X228,19,0)</f>
        <v>852</v>
      </c>
      <c r="J20" s="4" t="s">
        <v>63</v>
      </c>
      <c r="K20" s="5" t="s">
        <v>64</v>
      </c>
      <c r="L20" t="s">
        <v>32</v>
      </c>
      <c r="M20" t="s">
        <v>65</v>
      </c>
      <c r="N20" t="s">
        <v>961</v>
      </c>
      <c r="O20" t="s">
        <v>32</v>
      </c>
      <c r="P20" s="4"/>
      <c r="Q20" s="5"/>
      <c r="S20" s="5"/>
      <c r="U20" s="5"/>
      <c r="V20" s="5"/>
      <c r="X20" s="5"/>
      <c r="Z20" t="s">
        <v>952</v>
      </c>
      <c r="AA20" t="s">
        <v>32</v>
      </c>
      <c r="AB20" s="1">
        <v>45015.532881944448</v>
      </c>
      <c r="AC20" s="1">
        <v>45423.741990740738</v>
      </c>
      <c r="AD20" s="2" t="s">
        <v>953</v>
      </c>
    </row>
    <row r="21" spans="1:30" x14ac:dyDescent="0.45">
      <c r="A21" t="s">
        <v>712</v>
      </c>
      <c r="B21" t="s">
        <v>914</v>
      </c>
      <c r="C21" t="s">
        <v>642</v>
      </c>
      <c r="D21" t="s">
        <v>905</v>
      </c>
      <c r="E21" t="s">
        <v>85</v>
      </c>
      <c r="F21" t="s">
        <v>26</v>
      </c>
      <c r="G21" s="4" t="s">
        <v>2013</v>
      </c>
      <c r="H21" s="4"/>
      <c r="I21" s="22">
        <f>I19</f>
        <v>925</v>
      </c>
      <c r="J21" s="5" t="s">
        <v>30</v>
      </c>
      <c r="K21" s="5" t="s">
        <v>642</v>
      </c>
      <c r="L21" t="s">
        <v>32</v>
      </c>
      <c r="M21" t="s">
        <v>32</v>
      </c>
      <c r="N21" t="s">
        <v>32</v>
      </c>
      <c r="O21" t="s">
        <v>32</v>
      </c>
      <c r="P21" s="4"/>
      <c r="Q21" s="5"/>
      <c r="S21" s="5">
        <f>VLOOKUP(J4,'Heat Exchanger Data'!C3:W227,18,0)</f>
        <v>930</v>
      </c>
      <c r="U21" s="5"/>
      <c r="V21" s="5"/>
      <c r="X21" s="5"/>
      <c r="Z21" t="s">
        <v>915</v>
      </c>
      <c r="AA21" t="s">
        <v>32</v>
      </c>
      <c r="AB21" s="1">
        <v>45015.532870370371</v>
      </c>
      <c r="AC21" s="1">
        <v>45423.739108796297</v>
      </c>
      <c r="AD21" s="2" t="s">
        <v>916</v>
      </c>
    </row>
    <row r="22" spans="1:30" x14ac:dyDescent="0.45">
      <c r="A22" t="s">
        <v>712</v>
      </c>
      <c r="B22" t="s">
        <v>910</v>
      </c>
      <c r="C22" t="s">
        <v>911</v>
      </c>
      <c r="D22" t="s">
        <v>905</v>
      </c>
      <c r="E22" t="s">
        <v>85</v>
      </c>
      <c r="F22" t="s">
        <v>26</v>
      </c>
      <c r="G22" s="4" t="s">
        <v>2013</v>
      </c>
      <c r="H22" s="4"/>
      <c r="I22" s="22">
        <f>I19</f>
        <v>925</v>
      </c>
      <c r="J22" s="5" t="s">
        <v>30</v>
      </c>
      <c r="K22" s="5" t="s">
        <v>911</v>
      </c>
      <c r="L22" t="s">
        <v>32</v>
      </c>
      <c r="M22" t="s">
        <v>32</v>
      </c>
      <c r="N22" t="s">
        <v>32</v>
      </c>
      <c r="O22" t="s">
        <v>32</v>
      </c>
      <c r="P22" s="4"/>
      <c r="Q22" s="5"/>
      <c r="S22" s="5">
        <f>S21</f>
        <v>930</v>
      </c>
      <c r="U22" s="5"/>
      <c r="V22" s="5"/>
      <c r="X22" s="5"/>
      <c r="Z22" t="s">
        <v>912</v>
      </c>
      <c r="AA22" t="s">
        <v>32</v>
      </c>
      <c r="AB22" s="1">
        <v>45015.532870370371</v>
      </c>
      <c r="AC22" s="1">
        <v>45423.739351851851</v>
      </c>
      <c r="AD22" s="2" t="s">
        <v>913</v>
      </c>
    </row>
    <row r="23" spans="1:30" x14ac:dyDescent="0.45">
      <c r="A23" t="s">
        <v>712</v>
      </c>
      <c r="B23" t="s">
        <v>730</v>
      </c>
      <c r="C23" t="s">
        <v>47</v>
      </c>
      <c r="D23" t="s">
        <v>22</v>
      </c>
      <c r="E23" t="s">
        <v>25</v>
      </c>
      <c r="F23" t="s">
        <v>26</v>
      </c>
      <c r="G23" s="4" t="s">
        <v>27</v>
      </c>
      <c r="H23" s="4" t="s">
        <v>28</v>
      </c>
      <c r="I23" s="5" t="s">
        <v>29</v>
      </c>
      <c r="J23" s="5" t="s">
        <v>30</v>
      </c>
      <c r="K23" s="5" t="s">
        <v>31</v>
      </c>
      <c r="L23" t="s">
        <v>32</v>
      </c>
      <c r="M23" t="s">
        <v>32</v>
      </c>
      <c r="N23" t="s">
        <v>32</v>
      </c>
      <c r="O23" t="s">
        <v>33</v>
      </c>
      <c r="P23" s="4">
        <f>VLOOKUP(J4,'Heat Exchanger Data'!C3:W227,16,0)</f>
        <v>880</v>
      </c>
      <c r="Q23" s="5">
        <v>6</v>
      </c>
      <c r="R23" s="5">
        <f>J4</f>
        <v>800</v>
      </c>
      <c r="S23" s="5">
        <v>2</v>
      </c>
      <c r="U23" s="5"/>
      <c r="V23" s="5"/>
      <c r="X23" s="23">
        <f>0.7854*(P23*P23-R23*R23)*Q23*8*10^-6*S23</f>
        <v>10.133544959999998</v>
      </c>
      <c r="Z23" t="s">
        <v>731</v>
      </c>
      <c r="AA23" t="s">
        <v>32</v>
      </c>
      <c r="AB23" s="1">
        <v>45015.532847222225</v>
      </c>
      <c r="AC23" s="1">
        <v>45428.708090277774</v>
      </c>
      <c r="AD23" s="2" t="s">
        <v>732</v>
      </c>
    </row>
    <row r="24" spans="1:30" x14ac:dyDescent="0.45">
      <c r="A24" t="s">
        <v>712</v>
      </c>
      <c r="B24" t="s">
        <v>726</v>
      </c>
      <c r="C24" t="s">
        <v>727</v>
      </c>
      <c r="D24" t="s">
        <v>213</v>
      </c>
      <c r="E24" t="s">
        <v>76</v>
      </c>
      <c r="F24" t="s">
        <v>188</v>
      </c>
      <c r="G24" s="4" t="s">
        <v>189</v>
      </c>
      <c r="H24" s="4" t="s">
        <v>287</v>
      </c>
      <c r="I24" s="22"/>
      <c r="J24" s="5" t="s">
        <v>30</v>
      </c>
      <c r="K24" s="5" t="s">
        <v>31</v>
      </c>
      <c r="L24" t="s">
        <v>32</v>
      </c>
      <c r="M24" t="s">
        <v>32</v>
      </c>
      <c r="N24" t="s">
        <v>32</v>
      </c>
      <c r="O24" t="s">
        <v>33</v>
      </c>
      <c r="P24" s="4"/>
      <c r="Q24" s="5">
        <f>VLOOKUP(J4,'Heat Exchanger Data'!C3:W227,6,0)+4</f>
        <v>34</v>
      </c>
      <c r="R24" s="5"/>
      <c r="S24" s="5">
        <v>2</v>
      </c>
      <c r="U24" s="5"/>
      <c r="V24" s="20">
        <f>P17*PI()+300</f>
        <v>2866.6811979828608</v>
      </c>
      <c r="X24" s="23">
        <f>P24*V24*Q24*7.85*10^-6*S24</f>
        <v>0</v>
      </c>
      <c r="Z24" t="s">
        <v>728</v>
      </c>
      <c r="AA24" t="s">
        <v>32</v>
      </c>
      <c r="AB24" s="1">
        <v>45504.600127314814</v>
      </c>
      <c r="AC24" s="1">
        <v>45505.7421875</v>
      </c>
      <c r="AD24" s="2" t="s">
        <v>729</v>
      </c>
    </row>
    <row r="25" spans="1:30" x14ac:dyDescent="0.45">
      <c r="A25" t="s">
        <v>712</v>
      </c>
      <c r="B25" t="s">
        <v>895</v>
      </c>
      <c r="C25" t="s">
        <v>300</v>
      </c>
      <c r="D25" t="s">
        <v>298</v>
      </c>
      <c r="E25" t="s">
        <v>85</v>
      </c>
      <c r="F25" t="s">
        <v>32</v>
      </c>
      <c r="G25" s="4" t="s">
        <v>32</v>
      </c>
      <c r="H25" s="4" t="s">
        <v>32</v>
      </c>
      <c r="I25" s="5"/>
      <c r="J25" s="5" t="s">
        <v>32</v>
      </c>
      <c r="K25" s="5" t="s">
        <v>302</v>
      </c>
      <c r="L25" t="s">
        <v>32</v>
      </c>
      <c r="M25" t="s">
        <v>32</v>
      </c>
      <c r="N25" t="s">
        <v>32</v>
      </c>
      <c r="O25" t="s">
        <v>32</v>
      </c>
      <c r="P25" s="4">
        <f>P23</f>
        <v>880</v>
      </c>
      <c r="Q25" s="5">
        <v>5</v>
      </c>
      <c r="R25" s="5">
        <f>R23</f>
        <v>800</v>
      </c>
      <c r="S25" s="5">
        <f>S23</f>
        <v>2</v>
      </c>
      <c r="U25" s="5"/>
      <c r="V25" s="5"/>
      <c r="X25" s="5"/>
      <c r="Z25" t="s">
        <v>896</v>
      </c>
      <c r="AA25" t="s">
        <v>32</v>
      </c>
      <c r="AB25" s="1">
        <v>45015.532870370371</v>
      </c>
      <c r="AC25" s="1">
        <v>45015.532870370371</v>
      </c>
      <c r="AD25" s="2" t="s">
        <v>897</v>
      </c>
    </row>
    <row r="26" spans="1:30" x14ac:dyDescent="0.45">
      <c r="A26" t="s">
        <v>712</v>
      </c>
      <c r="B26" t="s">
        <v>922</v>
      </c>
      <c r="C26" t="s">
        <v>311</v>
      </c>
      <c r="D26" t="s">
        <v>309</v>
      </c>
      <c r="E26" t="s">
        <v>233</v>
      </c>
      <c r="F26" t="s">
        <v>26</v>
      </c>
      <c r="G26" s="4" t="s">
        <v>2014</v>
      </c>
      <c r="H26" s="4" t="s">
        <v>2015</v>
      </c>
      <c r="I26" s="5">
        <f>VLOOKUP(J4,'Heat Exchanger Data'!C3:W227,9,0)</f>
        <v>8</v>
      </c>
      <c r="J26" s="5" t="s">
        <v>30</v>
      </c>
      <c r="K26" s="25" t="s">
        <v>331</v>
      </c>
      <c r="L26" t="s">
        <v>32</v>
      </c>
      <c r="M26" t="s">
        <v>32</v>
      </c>
      <c r="N26" t="s">
        <v>32</v>
      </c>
      <c r="O26" t="s">
        <v>32</v>
      </c>
      <c r="P26" s="4"/>
      <c r="Q26" s="5"/>
      <c r="S26" s="5" t="str">
        <f>VLOOKUP(J4,'Heat Exchanger Data'!C3:W227,11,0)</f>
        <v>M16</v>
      </c>
      <c r="U26" s="5"/>
      <c r="V26" s="5">
        <f>VLOOKUP(J4,'Heat Exchanger Data'!C3:W227,10,0)</f>
        <v>6</v>
      </c>
      <c r="X26" s="5"/>
      <c r="Z26" t="s">
        <v>923</v>
      </c>
      <c r="AA26" t="s">
        <v>32</v>
      </c>
      <c r="AB26" s="1">
        <v>45015.532870370371</v>
      </c>
      <c r="AC26" s="1">
        <v>45015.532870370371</v>
      </c>
      <c r="AD26" s="2" t="s">
        <v>924</v>
      </c>
    </row>
    <row r="27" spans="1:30" x14ac:dyDescent="0.45">
      <c r="A27" t="s">
        <v>712</v>
      </c>
      <c r="B27" t="s">
        <v>789</v>
      </c>
      <c r="C27" t="s">
        <v>142</v>
      </c>
      <c r="D27" t="s">
        <v>22</v>
      </c>
      <c r="E27" t="s">
        <v>25</v>
      </c>
      <c r="F27" t="s">
        <v>26</v>
      </c>
      <c r="G27" s="4" t="s">
        <v>27</v>
      </c>
      <c r="H27" s="4" t="s">
        <v>28</v>
      </c>
      <c r="I27" s="5" t="s">
        <v>29</v>
      </c>
      <c r="J27" s="5" t="s">
        <v>30</v>
      </c>
      <c r="K27" s="5" t="s">
        <v>31</v>
      </c>
      <c r="L27" t="s">
        <v>32</v>
      </c>
      <c r="M27" t="s">
        <v>32</v>
      </c>
      <c r="N27" t="s">
        <v>32</v>
      </c>
      <c r="O27" t="s">
        <v>33</v>
      </c>
      <c r="P27" s="4">
        <v>75</v>
      </c>
      <c r="Q27" s="5">
        <f>Q12</f>
        <v>5</v>
      </c>
      <c r="S27" s="5">
        <v>2</v>
      </c>
      <c r="U27" s="5">
        <v>200</v>
      </c>
      <c r="V27" s="5"/>
      <c r="X27" s="23">
        <f t="shared" ref="X27:X32" si="0">P27*U27*Q27*8*10^-6*S27</f>
        <v>1.2</v>
      </c>
      <c r="Z27" t="s">
        <v>790</v>
      </c>
      <c r="AA27" t="s">
        <v>32</v>
      </c>
      <c r="AB27" s="1">
        <v>45015.532858796294</v>
      </c>
      <c r="AC27" s="1">
        <v>45428.723020833335</v>
      </c>
      <c r="AD27" s="2" t="s">
        <v>791</v>
      </c>
    </row>
    <row r="28" spans="1:30" x14ac:dyDescent="0.45">
      <c r="A28" t="s">
        <v>712</v>
      </c>
      <c r="B28" t="s">
        <v>757</v>
      </c>
      <c r="C28" t="s">
        <v>93</v>
      </c>
      <c r="D28" t="s">
        <v>22</v>
      </c>
      <c r="E28" t="s">
        <v>71</v>
      </c>
      <c r="F28" t="s">
        <v>188</v>
      </c>
      <c r="G28" s="4" t="s">
        <v>189</v>
      </c>
      <c r="H28" s="4" t="s">
        <v>190</v>
      </c>
      <c r="I28" s="5" t="s">
        <v>29</v>
      </c>
      <c r="J28" s="5" t="s">
        <v>30</v>
      </c>
      <c r="K28" s="5" t="s">
        <v>31</v>
      </c>
      <c r="L28" t="s">
        <v>32</v>
      </c>
      <c r="M28" t="s">
        <v>32</v>
      </c>
      <c r="N28" t="s">
        <v>32</v>
      </c>
      <c r="O28" t="s">
        <v>33</v>
      </c>
      <c r="P28" s="4">
        <v>130</v>
      </c>
      <c r="Q28" s="5">
        <v>12</v>
      </c>
      <c r="S28" s="5">
        <v>2</v>
      </c>
      <c r="U28" s="5">
        <v>150</v>
      </c>
      <c r="V28" s="5"/>
      <c r="X28" s="23">
        <f t="shared" si="0"/>
        <v>3.7439999999999998</v>
      </c>
      <c r="Z28" t="s">
        <v>758</v>
      </c>
      <c r="AA28" t="s">
        <v>32</v>
      </c>
      <c r="AB28" s="1">
        <v>45015.532858796294</v>
      </c>
      <c r="AC28" s="1">
        <v>45428.719201388885</v>
      </c>
      <c r="AD28" s="2" t="s">
        <v>759</v>
      </c>
    </row>
    <row r="29" spans="1:30" x14ac:dyDescent="0.45">
      <c r="A29" t="s">
        <v>712</v>
      </c>
      <c r="B29" t="s">
        <v>751</v>
      </c>
      <c r="C29" t="s">
        <v>84</v>
      </c>
      <c r="D29" t="s">
        <v>22</v>
      </c>
      <c r="E29" t="s">
        <v>85</v>
      </c>
      <c r="F29" t="s">
        <v>26</v>
      </c>
      <c r="G29" s="4" t="s">
        <v>27</v>
      </c>
      <c r="H29" s="4" t="s">
        <v>28</v>
      </c>
      <c r="I29" s="5" t="s">
        <v>29</v>
      </c>
      <c r="J29" s="5" t="s">
        <v>30</v>
      </c>
      <c r="K29" s="5" t="s">
        <v>31</v>
      </c>
      <c r="L29" t="s">
        <v>32</v>
      </c>
      <c r="M29" t="s">
        <v>32</v>
      </c>
      <c r="N29" t="s">
        <v>32</v>
      </c>
      <c r="O29" t="s">
        <v>33</v>
      </c>
      <c r="P29" s="4">
        <v>145</v>
      </c>
      <c r="Q29" s="5">
        <v>3</v>
      </c>
      <c r="S29" s="5">
        <v>1</v>
      </c>
      <c r="U29" s="5">
        <v>270</v>
      </c>
      <c r="V29" s="5"/>
      <c r="X29" s="23">
        <f t="shared" si="0"/>
        <v>0.93959999999999999</v>
      </c>
      <c r="Z29" t="s">
        <v>752</v>
      </c>
      <c r="AA29" t="s">
        <v>32</v>
      </c>
      <c r="AB29" s="1">
        <v>45015.532847222225</v>
      </c>
      <c r="AC29" s="1">
        <v>45428.720671296294</v>
      </c>
      <c r="AD29" s="2" t="s">
        <v>753</v>
      </c>
    </row>
    <row r="30" spans="1:30" x14ac:dyDescent="0.45">
      <c r="A30" t="s">
        <v>712</v>
      </c>
      <c r="B30" t="s">
        <v>785</v>
      </c>
      <c r="C30" t="s">
        <v>786</v>
      </c>
      <c r="D30" t="s">
        <v>22</v>
      </c>
      <c r="E30" t="s">
        <v>25</v>
      </c>
      <c r="F30" t="s">
        <v>26</v>
      </c>
      <c r="G30" s="4" t="s">
        <v>27</v>
      </c>
      <c r="H30" s="4" t="s">
        <v>28</v>
      </c>
      <c r="I30" s="5" t="s">
        <v>29</v>
      </c>
      <c r="J30" s="5" t="s">
        <v>30</v>
      </c>
      <c r="K30" s="5" t="s">
        <v>31</v>
      </c>
      <c r="L30" t="s">
        <v>32</v>
      </c>
      <c r="M30" t="s">
        <v>32</v>
      </c>
      <c r="N30" t="s">
        <v>32</v>
      </c>
      <c r="O30" t="s">
        <v>33</v>
      </c>
      <c r="P30" s="4">
        <f>J4-4</f>
        <v>796</v>
      </c>
      <c r="Q30" s="5">
        <f>VLOOKUP(J4,'Heat Exchanger Data'!C3:W227,7,0)</f>
        <v>36</v>
      </c>
      <c r="S30" s="5">
        <v>1</v>
      </c>
      <c r="U30" s="20">
        <f>0.193*J4+J5</f>
        <v>454.4</v>
      </c>
      <c r="V30" s="5"/>
      <c r="X30" s="23">
        <f t="shared" si="0"/>
        <v>104.17029119999998</v>
      </c>
      <c r="Z30" t="s">
        <v>787</v>
      </c>
      <c r="AA30" t="s">
        <v>32</v>
      </c>
      <c r="AB30" s="1">
        <v>45015.532858796294</v>
      </c>
      <c r="AC30" s="1">
        <v>45423.723657407405</v>
      </c>
      <c r="AD30" s="2" t="s">
        <v>788</v>
      </c>
    </row>
    <row r="31" spans="1:30" x14ac:dyDescent="0.45">
      <c r="A31" t="s">
        <v>712</v>
      </c>
      <c r="B31" t="s">
        <v>785</v>
      </c>
      <c r="C31" t="s">
        <v>786</v>
      </c>
      <c r="D31" t="s">
        <v>22</v>
      </c>
      <c r="E31" t="s">
        <v>25</v>
      </c>
      <c r="F31" t="s">
        <v>26</v>
      </c>
      <c r="G31" s="4" t="s">
        <v>27</v>
      </c>
      <c r="H31" s="4" t="s">
        <v>28</v>
      </c>
      <c r="I31" s="5" t="s">
        <v>29</v>
      </c>
      <c r="J31" s="5" t="s">
        <v>30</v>
      </c>
      <c r="K31" s="5" t="s">
        <v>31</v>
      </c>
      <c r="L31" t="s">
        <v>32</v>
      </c>
      <c r="M31" t="s">
        <v>32</v>
      </c>
      <c r="N31" t="s">
        <v>32</v>
      </c>
      <c r="O31" t="s">
        <v>33</v>
      </c>
      <c r="P31" s="4">
        <f>P30/2-2</f>
        <v>396</v>
      </c>
      <c r="Q31" s="5">
        <f>VLOOKUP(J4,'Heat Exchanger Data'!C3:W227,7,0)</f>
        <v>36</v>
      </c>
      <c r="S31" s="5">
        <v>1</v>
      </c>
      <c r="U31" s="20">
        <f>U30</f>
        <v>454.4</v>
      </c>
      <c r="V31" s="5"/>
      <c r="X31" s="23">
        <f t="shared" si="0"/>
        <v>51.823411199999995</v>
      </c>
      <c r="Z31" t="s">
        <v>787</v>
      </c>
      <c r="AA31" t="s">
        <v>32</v>
      </c>
      <c r="AB31" s="1">
        <v>45015.532858796294</v>
      </c>
      <c r="AC31" s="1">
        <v>45423.723657407405</v>
      </c>
      <c r="AD31" s="2" t="s">
        <v>788</v>
      </c>
    </row>
    <row r="32" spans="1:30" x14ac:dyDescent="0.45">
      <c r="A32" t="s">
        <v>712</v>
      </c>
      <c r="B32" t="s">
        <v>785</v>
      </c>
      <c r="C32" t="s">
        <v>786</v>
      </c>
      <c r="D32" t="s">
        <v>22</v>
      </c>
      <c r="E32" t="s">
        <v>25</v>
      </c>
      <c r="F32" t="s">
        <v>26</v>
      </c>
      <c r="G32" s="4" t="s">
        <v>27</v>
      </c>
      <c r="H32" s="4" t="s">
        <v>28</v>
      </c>
      <c r="I32" s="5" t="s">
        <v>29</v>
      </c>
      <c r="J32" s="5" t="s">
        <v>30</v>
      </c>
      <c r="K32" s="5" t="s">
        <v>31</v>
      </c>
      <c r="L32" t="s">
        <v>32</v>
      </c>
      <c r="M32" t="s">
        <v>32</v>
      </c>
      <c r="N32" t="s">
        <v>32</v>
      </c>
      <c r="O32" t="s">
        <v>33</v>
      </c>
      <c r="P32" s="4">
        <f>J4-4</f>
        <v>796</v>
      </c>
      <c r="Q32" s="5">
        <f>VLOOKUP(J4,'Heat Exchanger Data'!C3:W227,7,0)</f>
        <v>36</v>
      </c>
      <c r="S32" s="5">
        <v>1</v>
      </c>
      <c r="U32" s="20">
        <f>0.193*J4+J6</f>
        <v>354.4</v>
      </c>
      <c r="V32" s="5"/>
      <c r="X32" s="23">
        <f t="shared" si="0"/>
        <v>81.245491199999989</v>
      </c>
      <c r="Z32" t="s">
        <v>787</v>
      </c>
      <c r="AA32" t="s">
        <v>32</v>
      </c>
      <c r="AB32" s="1">
        <v>45015.532858796294</v>
      </c>
      <c r="AC32" s="1">
        <v>45423.723657407405</v>
      </c>
      <c r="AD32" s="2" t="s">
        <v>788</v>
      </c>
    </row>
    <row r="33" spans="1:30" x14ac:dyDescent="0.45">
      <c r="A33" t="s">
        <v>712</v>
      </c>
      <c r="B33" t="s">
        <v>901</v>
      </c>
      <c r="C33" t="s">
        <v>902</v>
      </c>
      <c r="D33" t="s">
        <v>298</v>
      </c>
      <c r="E33" t="s">
        <v>85</v>
      </c>
      <c r="F33" t="s">
        <v>32</v>
      </c>
      <c r="G33" s="4" t="s">
        <v>32</v>
      </c>
      <c r="H33" s="4" t="s">
        <v>32</v>
      </c>
      <c r="I33" s="5" t="s">
        <v>32</v>
      </c>
      <c r="J33" s="5" t="s">
        <v>32</v>
      </c>
      <c r="K33" s="5" t="s">
        <v>302</v>
      </c>
      <c r="L33" t="s">
        <v>32</v>
      </c>
      <c r="M33" t="s">
        <v>32</v>
      </c>
      <c r="N33" t="s">
        <v>32</v>
      </c>
      <c r="O33" t="s">
        <v>32</v>
      </c>
      <c r="P33" s="4">
        <v>35</v>
      </c>
      <c r="Q33" s="5">
        <v>5</v>
      </c>
      <c r="S33" s="5">
        <v>1</v>
      </c>
      <c r="U33" s="5">
        <f>P30+P31+P32</f>
        <v>1988</v>
      </c>
      <c r="V33" s="5"/>
      <c r="X33" s="5"/>
      <c r="Z33" t="s">
        <v>903</v>
      </c>
      <c r="AA33" t="s">
        <v>32</v>
      </c>
      <c r="AB33" s="1">
        <v>45015.532870370371</v>
      </c>
      <c r="AC33" s="1">
        <v>45015.532870370371</v>
      </c>
      <c r="AD33" s="2" t="s">
        <v>904</v>
      </c>
    </row>
    <row r="34" spans="1:30" x14ac:dyDescent="0.45">
      <c r="A34" t="s">
        <v>712</v>
      </c>
      <c r="B34" t="s">
        <v>802</v>
      </c>
      <c r="C34" t="s">
        <v>158</v>
      </c>
      <c r="D34" t="s">
        <v>22</v>
      </c>
      <c r="E34" t="s">
        <v>25</v>
      </c>
      <c r="F34" t="s">
        <v>188</v>
      </c>
      <c r="G34" s="4" t="s">
        <v>189</v>
      </c>
      <c r="H34" s="4" t="s">
        <v>190</v>
      </c>
      <c r="I34" s="5" t="s">
        <v>29</v>
      </c>
      <c r="J34" s="5" t="s">
        <v>30</v>
      </c>
      <c r="K34" s="5" t="s">
        <v>31</v>
      </c>
      <c r="L34" t="s">
        <v>32</v>
      </c>
      <c r="M34" t="s">
        <v>32</v>
      </c>
      <c r="N34" t="s">
        <v>32</v>
      </c>
      <c r="O34" t="s">
        <v>33</v>
      </c>
      <c r="P34" s="4"/>
      <c r="Q34" s="5"/>
      <c r="S34" s="5"/>
      <c r="V34" s="5"/>
      <c r="X34" s="5"/>
      <c r="Z34" t="s">
        <v>803</v>
      </c>
      <c r="AA34" t="s">
        <v>32</v>
      </c>
      <c r="AB34" s="1">
        <v>45015.532858796294</v>
      </c>
      <c r="AC34" s="1">
        <v>45428.722060185188</v>
      </c>
      <c r="AD34" s="2" t="s">
        <v>804</v>
      </c>
    </row>
    <row r="35" spans="1:30" x14ac:dyDescent="0.45">
      <c r="A35" t="s">
        <v>712</v>
      </c>
      <c r="B35" t="s">
        <v>745</v>
      </c>
      <c r="C35" t="s">
        <v>75</v>
      </c>
      <c r="D35" t="s">
        <v>22</v>
      </c>
      <c r="E35" t="s">
        <v>76</v>
      </c>
      <c r="F35" t="s">
        <v>188</v>
      </c>
      <c r="G35" s="4" t="s">
        <v>189</v>
      </c>
      <c r="H35" s="4" t="s">
        <v>190</v>
      </c>
      <c r="I35" s="5" t="s">
        <v>29</v>
      </c>
      <c r="J35" s="5" t="s">
        <v>30</v>
      </c>
      <c r="K35" s="5" t="s">
        <v>31</v>
      </c>
      <c r="L35" t="s">
        <v>32</v>
      </c>
      <c r="M35" t="s">
        <v>32</v>
      </c>
      <c r="N35" t="s">
        <v>32</v>
      </c>
      <c r="O35" t="s">
        <v>33</v>
      </c>
      <c r="P35" s="4"/>
      <c r="Q35" s="5"/>
      <c r="S35" s="5"/>
      <c r="X35" s="5"/>
      <c r="Z35" t="s">
        <v>746</v>
      </c>
      <c r="AA35" t="s">
        <v>32</v>
      </c>
      <c r="AB35" s="1">
        <v>45015.532847222225</v>
      </c>
      <c r="AC35" s="1">
        <v>45428.719907407409</v>
      </c>
      <c r="AD35" s="2" t="s">
        <v>747</v>
      </c>
    </row>
    <row r="36" spans="1:30" x14ac:dyDescent="0.45">
      <c r="A36" t="s">
        <v>712</v>
      </c>
      <c r="B36" t="s">
        <v>774</v>
      </c>
      <c r="C36" t="s">
        <v>443</v>
      </c>
      <c r="D36" t="s">
        <v>22</v>
      </c>
      <c r="E36" t="s">
        <v>71</v>
      </c>
      <c r="F36" t="s">
        <v>188</v>
      </c>
      <c r="G36" s="4" t="s">
        <v>189</v>
      </c>
      <c r="H36" s="4" t="s">
        <v>190</v>
      </c>
      <c r="I36" s="5" t="s">
        <v>29</v>
      </c>
      <c r="J36" s="5" t="s">
        <v>30</v>
      </c>
      <c r="K36" s="5" t="s">
        <v>31</v>
      </c>
      <c r="L36" t="s">
        <v>32</v>
      </c>
      <c r="M36" t="s">
        <v>32</v>
      </c>
      <c r="N36" t="s">
        <v>32</v>
      </c>
      <c r="O36" t="s">
        <v>33</v>
      </c>
      <c r="P36" s="4"/>
      <c r="Q36" s="5"/>
      <c r="S36" s="5"/>
      <c r="Z36" t="s">
        <v>775</v>
      </c>
      <c r="AA36" t="s">
        <v>32</v>
      </c>
      <c r="AB36" s="1">
        <v>45015.532858796294</v>
      </c>
      <c r="AC36" s="1">
        <v>45428.721805555557</v>
      </c>
      <c r="AD36" s="2" t="s">
        <v>776</v>
      </c>
    </row>
    <row r="37" spans="1:30" x14ac:dyDescent="0.45">
      <c r="A37" t="s">
        <v>712</v>
      </c>
      <c r="B37" t="s">
        <v>774</v>
      </c>
      <c r="C37" t="s">
        <v>443</v>
      </c>
      <c r="D37" t="s">
        <v>22</v>
      </c>
      <c r="E37" t="s">
        <v>71</v>
      </c>
      <c r="F37" t="s">
        <v>188</v>
      </c>
      <c r="G37" s="4" t="s">
        <v>189</v>
      </c>
      <c r="H37" s="4" t="s">
        <v>190</v>
      </c>
      <c r="I37" s="5" t="s">
        <v>29</v>
      </c>
      <c r="J37" s="5" t="s">
        <v>30</v>
      </c>
      <c r="K37" s="5" t="s">
        <v>31</v>
      </c>
      <c r="L37" t="s">
        <v>32</v>
      </c>
      <c r="M37" t="s">
        <v>32</v>
      </c>
      <c r="N37" t="s">
        <v>32</v>
      </c>
      <c r="O37" t="s">
        <v>33</v>
      </c>
      <c r="P37" s="4"/>
      <c r="Q37" s="5"/>
      <c r="S37" s="5"/>
      <c r="Z37" t="s">
        <v>775</v>
      </c>
      <c r="AA37" t="s">
        <v>32</v>
      </c>
      <c r="AB37" s="1">
        <v>45015.532858796294</v>
      </c>
      <c r="AC37" s="1">
        <v>45428.721805555557</v>
      </c>
      <c r="AD37" s="2" t="s">
        <v>776</v>
      </c>
    </row>
    <row r="38" spans="1:30" x14ac:dyDescent="0.45">
      <c r="A38" t="s">
        <v>712</v>
      </c>
      <c r="B38" t="s">
        <v>808</v>
      </c>
      <c r="C38" t="s">
        <v>469</v>
      </c>
      <c r="D38" t="s">
        <v>22</v>
      </c>
      <c r="E38" t="s">
        <v>71</v>
      </c>
      <c r="F38" t="s">
        <v>26</v>
      </c>
      <c r="G38" s="4" t="s">
        <v>27</v>
      </c>
      <c r="H38" s="4" t="s">
        <v>28</v>
      </c>
      <c r="I38" s="5" t="s">
        <v>29</v>
      </c>
      <c r="J38" s="5" t="s">
        <v>30</v>
      </c>
      <c r="K38" s="5" t="s">
        <v>31</v>
      </c>
      <c r="L38" t="s">
        <v>32</v>
      </c>
      <c r="M38" t="s">
        <v>32</v>
      </c>
      <c r="N38" t="s">
        <v>32</v>
      </c>
      <c r="O38" t="s">
        <v>33</v>
      </c>
      <c r="P38" s="4"/>
      <c r="Q38" s="5"/>
      <c r="S38" s="5"/>
      <c r="Z38" t="s">
        <v>809</v>
      </c>
      <c r="AA38" t="s">
        <v>32</v>
      </c>
      <c r="AB38" s="1">
        <v>45015.532858796294</v>
      </c>
      <c r="AC38" s="1">
        <v>45441.490104166667</v>
      </c>
      <c r="AD38" s="2" t="s">
        <v>810</v>
      </c>
    </row>
    <row r="39" spans="1:30" x14ac:dyDescent="0.45">
      <c r="A39" t="s">
        <v>712</v>
      </c>
      <c r="B39" t="s">
        <v>808</v>
      </c>
      <c r="C39" t="s">
        <v>469</v>
      </c>
      <c r="D39" t="s">
        <v>22</v>
      </c>
      <c r="E39" t="s">
        <v>71</v>
      </c>
      <c r="F39" t="s">
        <v>26</v>
      </c>
      <c r="G39" s="4" t="s">
        <v>27</v>
      </c>
      <c r="H39" s="4" t="s">
        <v>28</v>
      </c>
      <c r="I39" s="5" t="s">
        <v>29</v>
      </c>
      <c r="J39" s="5" t="s">
        <v>30</v>
      </c>
      <c r="K39" s="5" t="s">
        <v>31</v>
      </c>
      <c r="L39" t="s">
        <v>32</v>
      </c>
      <c r="M39" t="s">
        <v>32</v>
      </c>
      <c r="N39" t="s">
        <v>32</v>
      </c>
      <c r="O39" t="s">
        <v>33</v>
      </c>
      <c r="P39" s="4"/>
      <c r="Q39" s="5"/>
      <c r="S39" s="5"/>
      <c r="Z39" t="s">
        <v>809</v>
      </c>
      <c r="AA39" t="s">
        <v>32</v>
      </c>
      <c r="AB39" s="1">
        <v>45015.532858796294</v>
      </c>
      <c r="AC39" s="1">
        <v>45441.490104166667</v>
      </c>
      <c r="AD39" s="2" t="s">
        <v>810</v>
      </c>
    </row>
    <row r="40" spans="1:30" x14ac:dyDescent="0.45">
      <c r="A40" t="s">
        <v>712</v>
      </c>
      <c r="B40" t="s">
        <v>975</v>
      </c>
      <c r="C40" t="s">
        <v>372</v>
      </c>
      <c r="D40" t="s">
        <v>372</v>
      </c>
      <c r="E40" t="s">
        <v>56</v>
      </c>
      <c r="F40" t="s">
        <v>188</v>
      </c>
      <c r="G40" s="4" t="s">
        <v>189</v>
      </c>
      <c r="H40" s="4"/>
      <c r="I40" s="5" t="s">
        <v>374</v>
      </c>
      <c r="J40" s="5" t="s">
        <v>30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S40" s="5">
        <v>1</v>
      </c>
      <c r="Z40" t="s">
        <v>976</v>
      </c>
      <c r="AA40" t="s">
        <v>32</v>
      </c>
      <c r="AB40" s="1">
        <v>45015.532881944448</v>
      </c>
      <c r="AC40" s="1">
        <v>45427.425925925927</v>
      </c>
      <c r="AD40" s="2" t="s">
        <v>977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workbookViewId="0">
      <selection activeCell="G17" sqref="G17"/>
    </sheetView>
  </sheetViews>
  <sheetFormatPr defaultRowHeight="14.25" x14ac:dyDescent="0.45"/>
  <cols>
    <col min="1" max="1" width="21.265625" customWidth="1"/>
    <col min="2" max="2" width="27.86328125" customWidth="1"/>
    <col min="3" max="3" width="25" customWidth="1"/>
    <col min="4" max="4" width="19.265625" customWidth="1"/>
    <col min="5" max="5" width="31.86328125" customWidth="1"/>
    <col min="6" max="6" width="13.265625" customWidth="1"/>
    <col min="7" max="7" width="20.1328125" customWidth="1"/>
    <col min="8" max="8" width="9" customWidth="1"/>
    <col min="9" max="9" width="16.3984375" bestFit="1" customWidth="1"/>
    <col min="10" max="10" width="14.265625" customWidth="1"/>
    <col min="11" max="11" width="11.86328125" customWidth="1"/>
    <col min="12" max="12" width="13.73046875" customWidth="1"/>
    <col min="13" max="13" width="10.265625" bestFit="1" customWidth="1"/>
    <col min="14" max="14" width="15.1328125" bestFit="1" customWidth="1"/>
    <col min="15" max="15" width="12.86328125" bestFit="1" customWidth="1"/>
    <col min="16" max="16" width="22.265625" customWidth="1"/>
    <col min="17" max="17" width="20.73046875" customWidth="1"/>
    <col min="18" max="18" width="12.73046875" customWidth="1"/>
  </cols>
  <sheetData>
    <row r="1" spans="1:18" x14ac:dyDescent="0.45">
      <c r="A1" t="s">
        <v>0</v>
      </c>
      <c r="B1" t="s">
        <v>2036</v>
      </c>
      <c r="C1" t="s">
        <v>2037</v>
      </c>
      <c r="D1" t="s">
        <v>2038</v>
      </c>
      <c r="E1" t="s">
        <v>3</v>
      </c>
      <c r="F1" t="s">
        <v>2</v>
      </c>
      <c r="G1" t="s">
        <v>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45">
      <c r="A2" t="s">
        <v>712</v>
      </c>
      <c r="B2" t="s">
        <v>2039</v>
      </c>
      <c r="C2" t="s">
        <v>2040</v>
      </c>
      <c r="D2" s="5" t="s">
        <v>2041</v>
      </c>
      <c r="E2" t="s">
        <v>43</v>
      </c>
      <c r="F2" t="s">
        <v>719</v>
      </c>
      <c r="G2" t="s">
        <v>22</v>
      </c>
      <c r="H2" s="4" t="s">
        <v>25</v>
      </c>
      <c r="I2" s="5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5" t="s">
        <v>31</v>
      </c>
      <c r="O2" s="5" t="s">
        <v>32</v>
      </c>
      <c r="P2" s="5" t="s">
        <v>32</v>
      </c>
      <c r="Q2" s="5" t="s">
        <v>32</v>
      </c>
      <c r="R2" t="s">
        <v>33</v>
      </c>
    </row>
    <row r="3" spans="1:18" x14ac:dyDescent="0.45">
      <c r="A3" t="s">
        <v>712</v>
      </c>
      <c r="B3" t="s">
        <v>2039</v>
      </c>
      <c r="C3" t="s">
        <v>2040</v>
      </c>
      <c r="D3" s="5" t="s">
        <v>2041</v>
      </c>
      <c r="E3" t="s">
        <v>24</v>
      </c>
      <c r="F3" t="s">
        <v>713</v>
      </c>
      <c r="G3" t="s">
        <v>22</v>
      </c>
      <c r="H3" s="4" t="s">
        <v>25</v>
      </c>
      <c r="I3" s="5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5" t="s">
        <v>31</v>
      </c>
      <c r="O3" s="5" t="s">
        <v>32</v>
      </c>
      <c r="P3" s="5" t="s">
        <v>32</v>
      </c>
      <c r="Q3" s="5" t="s">
        <v>32</v>
      </c>
      <c r="R3" t="s">
        <v>33</v>
      </c>
    </row>
    <row r="4" spans="1:18" x14ac:dyDescent="0.45">
      <c r="A4" t="s">
        <v>712</v>
      </c>
      <c r="B4" t="s">
        <v>2039</v>
      </c>
      <c r="C4" t="s">
        <v>2040</v>
      </c>
      <c r="D4" s="5" t="s">
        <v>2041</v>
      </c>
      <c r="E4" t="s">
        <v>771</v>
      </c>
      <c r="F4" t="s">
        <v>770</v>
      </c>
      <c r="G4" t="s">
        <v>22</v>
      </c>
      <c r="H4" s="4" t="s">
        <v>233</v>
      </c>
      <c r="I4" s="5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5" t="s">
        <v>31</v>
      </c>
      <c r="O4" s="5" t="s">
        <v>32</v>
      </c>
      <c r="P4" s="5" t="s">
        <v>32</v>
      </c>
      <c r="Q4" s="5" t="s">
        <v>32</v>
      </c>
      <c r="R4" t="s">
        <v>33</v>
      </c>
    </row>
    <row r="5" spans="1:18" x14ac:dyDescent="0.45">
      <c r="A5" t="s">
        <v>712</v>
      </c>
      <c r="B5" t="s">
        <v>2039</v>
      </c>
      <c r="C5" t="s">
        <v>2040</v>
      </c>
      <c r="D5" s="5" t="s">
        <v>2041</v>
      </c>
      <c r="E5" t="s">
        <v>771</v>
      </c>
      <c r="F5" t="s">
        <v>770</v>
      </c>
      <c r="G5" t="s">
        <v>22</v>
      </c>
      <c r="H5" s="4" t="s">
        <v>233</v>
      </c>
      <c r="I5" s="5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5" t="s">
        <v>31</v>
      </c>
      <c r="O5" s="5" t="s">
        <v>32</v>
      </c>
      <c r="P5" s="5" t="s">
        <v>32</v>
      </c>
      <c r="Q5" s="5" t="s">
        <v>32</v>
      </c>
      <c r="R5" t="s">
        <v>33</v>
      </c>
    </row>
    <row r="6" spans="1:18" x14ac:dyDescent="0.45">
      <c r="A6" t="s">
        <v>712</v>
      </c>
      <c r="B6" t="s">
        <v>2039</v>
      </c>
      <c r="C6" t="s">
        <v>2040</v>
      </c>
      <c r="D6" s="5" t="s">
        <v>2041</v>
      </c>
      <c r="E6" t="s">
        <v>220</v>
      </c>
      <c r="F6" t="s">
        <v>850</v>
      </c>
      <c r="G6" t="s">
        <v>213</v>
      </c>
      <c r="H6" s="4" t="s">
        <v>76</v>
      </c>
      <c r="I6" s="5" t="s">
        <v>188</v>
      </c>
      <c r="J6" s="4" t="s">
        <v>189</v>
      </c>
      <c r="K6" s="4" t="s">
        <v>287</v>
      </c>
      <c r="L6" s="4" t="s">
        <v>2042</v>
      </c>
      <c r="M6" s="4" t="s">
        <v>30</v>
      </c>
      <c r="N6" s="5" t="s">
        <v>31</v>
      </c>
      <c r="O6" s="5" t="s">
        <v>32</v>
      </c>
      <c r="P6" s="5" t="s">
        <v>32</v>
      </c>
      <c r="Q6" s="5" t="s">
        <v>32</v>
      </c>
      <c r="R6" t="s">
        <v>33</v>
      </c>
    </row>
    <row r="7" spans="1:18" x14ac:dyDescent="0.45">
      <c r="A7" t="s">
        <v>712</v>
      </c>
      <c r="B7" t="s">
        <v>2039</v>
      </c>
      <c r="C7" t="s">
        <v>2040</v>
      </c>
      <c r="D7" s="5" t="s">
        <v>2041</v>
      </c>
      <c r="E7" t="s">
        <v>47</v>
      </c>
      <c r="F7" t="s">
        <v>730</v>
      </c>
      <c r="G7" t="s">
        <v>22</v>
      </c>
      <c r="H7" s="4" t="s">
        <v>25</v>
      </c>
      <c r="I7" s="5" t="s">
        <v>26</v>
      </c>
      <c r="J7" s="4" t="s">
        <v>27</v>
      </c>
      <c r="K7" s="4" t="s">
        <v>28</v>
      </c>
      <c r="L7" s="4" t="s">
        <v>29</v>
      </c>
      <c r="M7" s="4" t="s">
        <v>30</v>
      </c>
      <c r="N7" s="5" t="s">
        <v>31</v>
      </c>
      <c r="O7" s="5" t="s">
        <v>32</v>
      </c>
      <c r="P7" s="5" t="s">
        <v>32</v>
      </c>
      <c r="Q7" s="5" t="s">
        <v>32</v>
      </c>
      <c r="R7" t="s">
        <v>33</v>
      </c>
    </row>
    <row r="8" spans="1:18" x14ac:dyDescent="0.45">
      <c r="A8" t="s">
        <v>712</v>
      </c>
      <c r="B8" t="s">
        <v>2039</v>
      </c>
      <c r="C8" t="s">
        <v>2040</v>
      </c>
      <c r="D8" s="5" t="s">
        <v>2041</v>
      </c>
      <c r="E8" t="s">
        <v>300</v>
      </c>
      <c r="F8" t="s">
        <v>895</v>
      </c>
      <c r="G8" t="s">
        <v>298</v>
      </c>
      <c r="H8" s="4" t="s">
        <v>85</v>
      </c>
      <c r="I8" s="5" t="s">
        <v>32</v>
      </c>
      <c r="J8" s="4" t="s">
        <v>32</v>
      </c>
      <c r="K8" s="4" t="s">
        <v>32</v>
      </c>
      <c r="L8" s="4" t="s">
        <v>32</v>
      </c>
      <c r="M8" s="4" t="s">
        <v>30</v>
      </c>
      <c r="N8" s="5" t="s">
        <v>302</v>
      </c>
      <c r="O8" s="5" t="s">
        <v>32</v>
      </c>
      <c r="P8" s="5" t="s">
        <v>32</v>
      </c>
      <c r="Q8" s="5" t="s">
        <v>32</v>
      </c>
      <c r="R8" t="s">
        <v>32</v>
      </c>
    </row>
    <row r="9" spans="1:18" x14ac:dyDescent="0.45">
      <c r="A9" t="s">
        <v>712</v>
      </c>
      <c r="B9" t="s">
        <v>2039</v>
      </c>
      <c r="C9" t="s">
        <v>2040</v>
      </c>
      <c r="D9" s="5" t="s">
        <v>2041</v>
      </c>
      <c r="E9" t="s">
        <v>946</v>
      </c>
      <c r="F9" t="s">
        <v>947</v>
      </c>
      <c r="G9" t="s">
        <v>946</v>
      </c>
      <c r="H9" s="4" t="s">
        <v>76</v>
      </c>
      <c r="I9" s="5" t="s">
        <v>26</v>
      </c>
      <c r="J9" s="4" t="s">
        <v>27</v>
      </c>
      <c r="K9" s="4" t="s">
        <v>28</v>
      </c>
      <c r="L9" s="4" t="s">
        <v>32</v>
      </c>
      <c r="M9" s="4" t="s">
        <v>30</v>
      </c>
      <c r="N9" s="5" t="s">
        <v>665</v>
      </c>
      <c r="O9" s="5" t="s">
        <v>32</v>
      </c>
      <c r="P9" s="5" t="s">
        <v>32</v>
      </c>
      <c r="Q9" s="5" t="s">
        <v>32</v>
      </c>
      <c r="R9" t="s">
        <v>32</v>
      </c>
    </row>
    <row r="10" spans="1:18" x14ac:dyDescent="0.45">
      <c r="A10" t="s">
        <v>712</v>
      </c>
      <c r="B10" t="s">
        <v>2039</v>
      </c>
      <c r="C10" t="s">
        <v>2040</v>
      </c>
      <c r="D10" s="5" t="s">
        <v>2041</v>
      </c>
      <c r="E10" t="s">
        <v>311</v>
      </c>
      <c r="F10" t="s">
        <v>922</v>
      </c>
      <c r="G10" t="s">
        <v>309</v>
      </c>
      <c r="H10" s="4" t="s">
        <v>233</v>
      </c>
      <c r="I10" s="5" t="s">
        <v>188</v>
      </c>
      <c r="J10" s="4" t="s">
        <v>312</v>
      </c>
      <c r="K10" s="4" t="s">
        <v>2043</v>
      </c>
      <c r="L10" s="4" t="s">
        <v>2044</v>
      </c>
      <c r="M10" s="4" t="s">
        <v>30</v>
      </c>
      <c r="N10" s="5" t="s">
        <v>331</v>
      </c>
      <c r="O10" s="5" t="s">
        <v>32</v>
      </c>
      <c r="P10" s="5" t="s">
        <v>32</v>
      </c>
      <c r="Q10" s="5" t="s">
        <v>32</v>
      </c>
      <c r="R10" t="s">
        <v>32</v>
      </c>
    </row>
    <row r="11" spans="1:18" x14ac:dyDescent="0.45">
      <c r="A11" t="s">
        <v>712</v>
      </c>
      <c r="B11" t="s">
        <v>2039</v>
      </c>
      <c r="C11" t="s">
        <v>2040</v>
      </c>
      <c r="D11" s="5" t="s">
        <v>2041</v>
      </c>
      <c r="E11" t="s">
        <v>955</v>
      </c>
      <c r="F11" t="s">
        <v>954</v>
      </c>
      <c r="G11" t="s">
        <v>661</v>
      </c>
      <c r="H11" s="4" t="s">
        <v>25</v>
      </c>
      <c r="I11" s="5" t="s">
        <v>26</v>
      </c>
      <c r="J11" s="4" t="s">
        <v>663</v>
      </c>
      <c r="K11" s="4" t="s">
        <v>28</v>
      </c>
      <c r="L11" s="4" t="s">
        <v>664</v>
      </c>
      <c r="M11" s="4" t="s">
        <v>30</v>
      </c>
      <c r="N11" s="5" t="s">
        <v>665</v>
      </c>
      <c r="O11" s="5" t="s">
        <v>64</v>
      </c>
      <c r="P11" s="5" t="s">
        <v>960</v>
      </c>
      <c r="Q11" s="5" t="s">
        <v>32</v>
      </c>
      <c r="R11" t="s">
        <v>33</v>
      </c>
    </row>
    <row r="12" spans="1:18" x14ac:dyDescent="0.45">
      <c r="A12" t="s">
        <v>712</v>
      </c>
      <c r="B12" t="s">
        <v>2039</v>
      </c>
      <c r="C12" t="s">
        <v>2040</v>
      </c>
      <c r="D12" s="5" t="s">
        <v>2041</v>
      </c>
      <c r="E12" t="s">
        <v>771</v>
      </c>
      <c r="F12" t="s">
        <v>770</v>
      </c>
      <c r="G12" t="s">
        <v>22</v>
      </c>
      <c r="H12" s="4" t="s">
        <v>233</v>
      </c>
      <c r="I12" s="5" t="s">
        <v>26</v>
      </c>
      <c r="J12" s="4" t="s">
        <v>27</v>
      </c>
      <c r="K12" s="4" t="s">
        <v>28</v>
      </c>
      <c r="L12" s="4" t="s">
        <v>29</v>
      </c>
      <c r="M12" s="4" t="s">
        <v>30</v>
      </c>
      <c r="N12" s="5" t="s">
        <v>31</v>
      </c>
      <c r="O12" s="5" t="s">
        <v>32</v>
      </c>
      <c r="P12" s="5" t="s">
        <v>32</v>
      </c>
      <c r="Q12" s="5" t="s">
        <v>32</v>
      </c>
      <c r="R12" t="s">
        <v>33</v>
      </c>
    </row>
    <row r="13" spans="1:18" x14ac:dyDescent="0.45">
      <c r="A13" t="s">
        <v>712</v>
      </c>
      <c r="B13" t="s">
        <v>2039</v>
      </c>
      <c r="C13" t="s">
        <v>2040</v>
      </c>
      <c r="D13" s="5" t="s">
        <v>2041</v>
      </c>
      <c r="E13" t="s">
        <v>771</v>
      </c>
      <c r="F13" t="s">
        <v>770</v>
      </c>
      <c r="G13" t="s">
        <v>22</v>
      </c>
      <c r="H13" s="4" t="s">
        <v>233</v>
      </c>
      <c r="I13" s="5" t="s">
        <v>26</v>
      </c>
      <c r="J13" s="4" t="s">
        <v>27</v>
      </c>
      <c r="K13" s="4" t="s">
        <v>28</v>
      </c>
      <c r="L13" s="4" t="s">
        <v>29</v>
      </c>
      <c r="M13" s="4" t="s">
        <v>30</v>
      </c>
      <c r="N13" s="5" t="s">
        <v>31</v>
      </c>
      <c r="O13" s="5" t="s">
        <v>32</v>
      </c>
      <c r="P13" s="5" t="s">
        <v>32</v>
      </c>
      <c r="Q13" s="5" t="s">
        <v>32</v>
      </c>
      <c r="R13" t="s">
        <v>33</v>
      </c>
    </row>
    <row r="14" spans="1:18" x14ac:dyDescent="0.45">
      <c r="A14" t="s">
        <v>712</v>
      </c>
      <c r="B14" t="s">
        <v>2039</v>
      </c>
      <c r="C14" t="s">
        <v>2040</v>
      </c>
      <c r="D14" s="5" t="s">
        <v>2041</v>
      </c>
      <c r="E14" t="s">
        <v>778</v>
      </c>
      <c r="F14" t="s">
        <v>777</v>
      </c>
      <c r="G14" t="s">
        <v>22</v>
      </c>
      <c r="H14" s="4" t="s">
        <v>25</v>
      </c>
      <c r="I14" s="5" t="s">
        <v>26</v>
      </c>
      <c r="J14" s="4" t="s">
        <v>27</v>
      </c>
      <c r="K14" s="4" t="s">
        <v>28</v>
      </c>
      <c r="L14" s="4" t="s">
        <v>29</v>
      </c>
      <c r="M14" s="4" t="s">
        <v>30</v>
      </c>
      <c r="N14" s="5" t="s">
        <v>31</v>
      </c>
      <c r="O14" s="5" t="s">
        <v>32</v>
      </c>
      <c r="P14" s="5" t="s">
        <v>32</v>
      </c>
      <c r="Q14" s="5" t="s">
        <v>32</v>
      </c>
      <c r="R14" t="s">
        <v>33</v>
      </c>
    </row>
    <row r="15" spans="1:18" x14ac:dyDescent="0.45">
      <c r="A15" t="s">
        <v>712</v>
      </c>
      <c r="B15" t="s">
        <v>2039</v>
      </c>
      <c r="C15" t="s">
        <v>2040</v>
      </c>
      <c r="D15" s="5" t="s">
        <v>2041</v>
      </c>
      <c r="E15" t="s">
        <v>969</v>
      </c>
      <c r="F15" t="s">
        <v>968</v>
      </c>
      <c r="G15" t="s">
        <v>672</v>
      </c>
      <c r="H15" s="4" t="s">
        <v>326</v>
      </c>
      <c r="I15" s="5" t="s">
        <v>26</v>
      </c>
      <c r="J15" s="4" t="s">
        <v>2013</v>
      </c>
      <c r="K15" s="4" t="s">
        <v>32</v>
      </c>
      <c r="L15" s="4" t="s">
        <v>2045</v>
      </c>
      <c r="M15" s="4" t="s">
        <v>30</v>
      </c>
      <c r="N15" s="5" t="s">
        <v>1922</v>
      </c>
      <c r="O15" s="5" t="s">
        <v>32</v>
      </c>
      <c r="P15" s="5" t="s">
        <v>32</v>
      </c>
      <c r="Q15" s="5" t="s">
        <v>32</v>
      </c>
      <c r="R15" t="s">
        <v>32</v>
      </c>
    </row>
    <row r="16" spans="1:18" x14ac:dyDescent="0.45">
      <c r="A16" t="s">
        <v>712</v>
      </c>
      <c r="B16" t="s">
        <v>2039</v>
      </c>
      <c r="C16" t="s">
        <v>2040</v>
      </c>
      <c r="D16" s="5" t="s">
        <v>2041</v>
      </c>
      <c r="E16" t="s">
        <v>951</v>
      </c>
      <c r="F16" t="s">
        <v>950</v>
      </c>
      <c r="G16" t="s">
        <v>59</v>
      </c>
      <c r="H16" s="4" t="s">
        <v>326</v>
      </c>
      <c r="I16" s="5" t="s">
        <v>26</v>
      </c>
      <c r="J16" s="4" t="s">
        <v>2013</v>
      </c>
      <c r="K16" s="4" t="s">
        <v>32</v>
      </c>
      <c r="L16" s="4" t="s">
        <v>2046</v>
      </c>
      <c r="M16" s="4" t="s">
        <v>63</v>
      </c>
      <c r="N16" s="5" t="s">
        <v>64</v>
      </c>
      <c r="O16" s="5" t="s">
        <v>32</v>
      </c>
      <c r="P16" s="5" t="s">
        <v>65</v>
      </c>
      <c r="Q16" s="5" t="s">
        <v>961</v>
      </c>
      <c r="R16" t="s">
        <v>32</v>
      </c>
    </row>
    <row r="17" spans="1:22" x14ac:dyDescent="0.45">
      <c r="A17" t="s">
        <v>712</v>
      </c>
      <c r="B17" t="s">
        <v>2039</v>
      </c>
      <c r="C17" t="s">
        <v>2040</v>
      </c>
      <c r="D17" s="5" t="s">
        <v>2041</v>
      </c>
      <c r="E17" t="s">
        <v>642</v>
      </c>
      <c r="F17" t="s">
        <v>914</v>
      </c>
      <c r="G17" t="s">
        <v>309</v>
      </c>
      <c r="H17" s="4" t="s">
        <v>85</v>
      </c>
      <c r="I17" s="5" t="s">
        <v>26</v>
      </c>
      <c r="J17" s="4" t="s">
        <v>2013</v>
      </c>
      <c r="K17" s="4" t="s">
        <v>32</v>
      </c>
      <c r="L17" s="4" t="s">
        <v>2047</v>
      </c>
      <c r="M17" s="4" t="s">
        <v>30</v>
      </c>
      <c r="N17" s="5" t="s">
        <v>331</v>
      </c>
      <c r="O17" s="5" t="s">
        <v>32</v>
      </c>
      <c r="P17" s="5" t="s">
        <v>32</v>
      </c>
      <c r="Q17" s="5" t="s">
        <v>32</v>
      </c>
      <c r="R17" t="s">
        <v>32</v>
      </c>
    </row>
    <row r="18" spans="1:22" x14ac:dyDescent="0.45">
      <c r="A18" t="s">
        <v>712</v>
      </c>
      <c r="B18" t="s">
        <v>2039</v>
      </c>
      <c r="C18" t="s">
        <v>2040</v>
      </c>
      <c r="D18" s="5" t="s">
        <v>2041</v>
      </c>
      <c r="E18" t="s">
        <v>911</v>
      </c>
      <c r="F18" t="s">
        <v>910</v>
      </c>
      <c r="G18" t="s">
        <v>309</v>
      </c>
      <c r="H18" s="4" t="s">
        <v>85</v>
      </c>
      <c r="I18" s="5" t="s">
        <v>26</v>
      </c>
      <c r="J18" s="4" t="s">
        <v>2013</v>
      </c>
      <c r="K18" s="4" t="s">
        <v>32</v>
      </c>
      <c r="L18" s="4" t="s">
        <v>2047</v>
      </c>
      <c r="M18" s="4" t="s">
        <v>30</v>
      </c>
      <c r="N18" s="5" t="s">
        <v>331</v>
      </c>
      <c r="O18" s="5" t="s">
        <v>32</v>
      </c>
      <c r="P18" s="5" t="s">
        <v>32</v>
      </c>
      <c r="Q18" s="5" t="s">
        <v>32</v>
      </c>
      <c r="R18" t="s">
        <v>32</v>
      </c>
    </row>
    <row r="19" spans="1:22" x14ac:dyDescent="0.45">
      <c r="A19" t="s">
        <v>712</v>
      </c>
      <c r="B19" t="s">
        <v>2039</v>
      </c>
      <c r="C19" t="s">
        <v>2040</v>
      </c>
      <c r="D19" s="5" t="s">
        <v>2041</v>
      </c>
      <c r="E19" t="s">
        <v>840</v>
      </c>
      <c r="F19" t="s">
        <v>839</v>
      </c>
      <c r="G19" t="s">
        <v>22</v>
      </c>
      <c r="H19" s="4" t="s">
        <v>71</v>
      </c>
      <c r="I19" s="5" t="s">
        <v>26</v>
      </c>
      <c r="J19" s="4" t="s">
        <v>27</v>
      </c>
      <c r="K19" s="4" t="s">
        <v>28</v>
      </c>
      <c r="L19" s="4" t="s">
        <v>29</v>
      </c>
      <c r="M19" s="4" t="s">
        <v>30</v>
      </c>
      <c r="N19" s="5" t="s">
        <v>31</v>
      </c>
      <c r="O19" s="5" t="s">
        <v>32</v>
      </c>
      <c r="P19" s="5" t="s">
        <v>32</v>
      </c>
      <c r="Q19" s="5" t="s">
        <v>32</v>
      </c>
      <c r="R19" t="s">
        <v>33</v>
      </c>
    </row>
    <row r="20" spans="1:22" x14ac:dyDescent="0.45">
      <c r="A20" t="s">
        <v>712</v>
      </c>
      <c r="B20" t="s">
        <v>2039</v>
      </c>
      <c r="C20" t="s">
        <v>2040</v>
      </c>
      <c r="D20" s="5" t="s">
        <v>2041</v>
      </c>
      <c r="E20" t="s">
        <v>80</v>
      </c>
      <c r="F20" t="s">
        <v>748</v>
      </c>
      <c r="G20" t="s">
        <v>22</v>
      </c>
      <c r="H20" s="4" t="s">
        <v>71</v>
      </c>
      <c r="I20" s="5" t="s">
        <v>188</v>
      </c>
      <c r="J20" s="4" t="s">
        <v>189</v>
      </c>
      <c r="K20" s="4" t="s">
        <v>190</v>
      </c>
      <c r="L20" s="4" t="s">
        <v>29</v>
      </c>
      <c r="M20" s="4" t="s">
        <v>30</v>
      </c>
      <c r="N20" s="5" t="s">
        <v>31</v>
      </c>
      <c r="O20" s="5" t="s">
        <v>32</v>
      </c>
      <c r="P20" s="5" t="s">
        <v>32</v>
      </c>
      <c r="Q20" s="5" t="s">
        <v>32</v>
      </c>
      <c r="R20" t="s">
        <v>33</v>
      </c>
    </row>
    <row r="21" spans="1:22" x14ac:dyDescent="0.45">
      <c r="A21" t="s">
        <v>712</v>
      </c>
      <c r="B21" t="s">
        <v>2039</v>
      </c>
      <c r="C21" t="s">
        <v>2040</v>
      </c>
      <c r="D21" s="5" t="s">
        <v>2041</v>
      </c>
      <c r="E21" t="s">
        <v>825</v>
      </c>
      <c r="F21" t="s">
        <v>824</v>
      </c>
      <c r="G21" t="s">
        <v>22</v>
      </c>
      <c r="H21" s="4" t="s">
        <v>71</v>
      </c>
      <c r="I21" s="5" t="s">
        <v>188</v>
      </c>
      <c r="J21" s="4" t="s">
        <v>189</v>
      </c>
      <c r="K21" s="4" t="s">
        <v>190</v>
      </c>
      <c r="L21" s="4" t="s">
        <v>29</v>
      </c>
      <c r="M21" s="4" t="s">
        <v>30</v>
      </c>
      <c r="N21" s="5" t="s">
        <v>31</v>
      </c>
      <c r="O21" s="5" t="s">
        <v>32</v>
      </c>
      <c r="P21" s="5" t="s">
        <v>32</v>
      </c>
      <c r="Q21" s="5" t="s">
        <v>32</v>
      </c>
      <c r="R21" t="s">
        <v>33</v>
      </c>
    </row>
    <row r="22" spans="1:22" x14ac:dyDescent="0.45">
      <c r="A22" t="s">
        <v>712</v>
      </c>
      <c r="B22" t="s">
        <v>2039</v>
      </c>
      <c r="C22" t="s">
        <v>2040</v>
      </c>
      <c r="D22" s="5" t="s">
        <v>2041</v>
      </c>
      <c r="E22" t="s">
        <v>821</v>
      </c>
      <c r="F22" t="s">
        <v>824</v>
      </c>
      <c r="G22" t="s">
        <v>22</v>
      </c>
      <c r="H22" s="4" t="s">
        <v>71</v>
      </c>
      <c r="I22" s="5" t="s">
        <v>188</v>
      </c>
      <c r="J22" s="4" t="s">
        <v>189</v>
      </c>
      <c r="K22" s="4" t="s">
        <v>190</v>
      </c>
      <c r="L22" s="4" t="s">
        <v>29</v>
      </c>
      <c r="M22" s="4" t="s">
        <v>30</v>
      </c>
      <c r="N22" s="5" t="s">
        <v>31</v>
      </c>
      <c r="O22" s="5" t="s">
        <v>32</v>
      </c>
      <c r="P22" s="5" t="s">
        <v>32</v>
      </c>
      <c r="Q22" s="5" t="s">
        <v>32</v>
      </c>
      <c r="R22" t="s">
        <v>33</v>
      </c>
    </row>
    <row r="23" spans="1:22" x14ac:dyDescent="0.45">
      <c r="A23" t="s">
        <v>712</v>
      </c>
      <c r="B23" t="s">
        <v>2039</v>
      </c>
      <c r="C23" t="s">
        <v>2040</v>
      </c>
      <c r="D23" s="5" t="s">
        <v>2041</v>
      </c>
      <c r="E23" t="s">
        <v>372</v>
      </c>
      <c r="F23" t="s">
        <v>975</v>
      </c>
      <c r="G23" t="s">
        <v>372</v>
      </c>
      <c r="H23" s="4" t="s">
        <v>56</v>
      </c>
      <c r="I23" s="5" t="s">
        <v>188</v>
      </c>
      <c r="J23" s="4" t="s">
        <v>189</v>
      </c>
      <c r="K23" s="4" t="s">
        <v>190</v>
      </c>
      <c r="L23" s="4" t="s">
        <v>374</v>
      </c>
      <c r="M23" s="4" t="s">
        <v>30</v>
      </c>
      <c r="N23" s="5" t="s">
        <v>32</v>
      </c>
      <c r="O23" s="5" t="s">
        <v>32</v>
      </c>
      <c r="P23" s="5" t="s">
        <v>32</v>
      </c>
      <c r="Q23" s="5" t="s">
        <v>32</v>
      </c>
      <c r="R23" t="s">
        <v>32</v>
      </c>
    </row>
    <row r="24" spans="1:22" x14ac:dyDescent="0.45">
      <c r="A24" t="s">
        <v>712</v>
      </c>
      <c r="B24" t="s">
        <v>2039</v>
      </c>
      <c r="C24" t="s">
        <v>2040</v>
      </c>
      <c r="D24" s="5" t="s">
        <v>2041</v>
      </c>
      <c r="E24" t="s">
        <v>142</v>
      </c>
      <c r="F24" t="s">
        <v>789</v>
      </c>
      <c r="G24" t="s">
        <v>22</v>
      </c>
      <c r="H24" s="4" t="s">
        <v>25</v>
      </c>
      <c r="I24" s="5" t="s">
        <v>26</v>
      </c>
      <c r="J24" s="4" t="s">
        <v>27</v>
      </c>
      <c r="K24" s="4" t="s">
        <v>28</v>
      </c>
      <c r="L24" s="4" t="s">
        <v>29</v>
      </c>
      <c r="M24" s="4" t="s">
        <v>30</v>
      </c>
      <c r="N24" s="5" t="s">
        <v>31</v>
      </c>
      <c r="O24" s="5" t="s">
        <v>32</v>
      </c>
      <c r="P24" s="5" t="s">
        <v>32</v>
      </c>
      <c r="Q24" s="5" t="s">
        <v>32</v>
      </c>
      <c r="R24" t="s">
        <v>33</v>
      </c>
    </row>
    <row r="25" spans="1:22" x14ac:dyDescent="0.45">
      <c r="A25" t="s">
        <v>712</v>
      </c>
      <c r="B25" t="s">
        <v>2039</v>
      </c>
      <c r="C25" t="s">
        <v>2040</v>
      </c>
      <c r="D25" s="5" t="s">
        <v>2041</v>
      </c>
      <c r="E25" t="s">
        <v>93</v>
      </c>
      <c r="F25" t="s">
        <v>435</v>
      </c>
      <c r="G25" t="s">
        <v>22</v>
      </c>
      <c r="H25" s="4" t="s">
        <v>71</v>
      </c>
      <c r="I25" s="5" t="s">
        <v>26</v>
      </c>
      <c r="J25" s="4" t="s">
        <v>27</v>
      </c>
      <c r="K25" s="4" t="s">
        <v>28</v>
      </c>
      <c r="L25" s="4" t="s">
        <v>29</v>
      </c>
      <c r="M25" s="4" t="s">
        <v>30</v>
      </c>
      <c r="N25" s="5" t="s">
        <v>31</v>
      </c>
      <c r="O25" s="5" t="s">
        <v>32</v>
      </c>
      <c r="P25" s="5" t="s">
        <v>32</v>
      </c>
      <c r="Q25" s="5" t="s">
        <v>32</v>
      </c>
      <c r="R25" t="s">
        <v>33</v>
      </c>
    </row>
    <row r="26" spans="1:22" x14ac:dyDescent="0.45">
      <c r="A26" t="s">
        <v>712</v>
      </c>
      <c r="B26" t="s">
        <v>2039</v>
      </c>
      <c r="C26" t="s">
        <v>2040</v>
      </c>
      <c r="D26" s="5" t="s">
        <v>2041</v>
      </c>
      <c r="E26" t="s">
        <v>237</v>
      </c>
      <c r="F26" t="s">
        <v>867</v>
      </c>
      <c r="G26" t="s">
        <v>59</v>
      </c>
      <c r="H26" s="4" t="s">
        <v>233</v>
      </c>
      <c r="I26" s="5" t="s">
        <v>188</v>
      </c>
      <c r="J26" s="4" t="s">
        <v>246</v>
      </c>
      <c r="K26" s="4" t="s">
        <v>190</v>
      </c>
      <c r="L26" s="4" t="s">
        <v>2048</v>
      </c>
      <c r="M26" s="4" t="s">
        <v>63</v>
      </c>
      <c r="N26" s="5" t="s">
        <v>64</v>
      </c>
      <c r="O26" s="5" t="s">
        <v>32</v>
      </c>
      <c r="P26" s="5" t="s">
        <v>246</v>
      </c>
      <c r="Q26" s="5" t="s">
        <v>247</v>
      </c>
      <c r="R26" t="s">
        <v>32</v>
      </c>
    </row>
    <row r="27" spans="1:22" x14ac:dyDescent="0.45">
      <c r="A27" t="s">
        <v>712</v>
      </c>
      <c r="B27" t="s">
        <v>2039</v>
      </c>
      <c r="C27" t="s">
        <v>2040</v>
      </c>
      <c r="D27" s="5" t="s">
        <v>2041</v>
      </c>
      <c r="E27" t="s">
        <v>174</v>
      </c>
      <c r="F27" t="s">
        <v>817</v>
      </c>
      <c r="G27" t="s">
        <v>22</v>
      </c>
      <c r="H27" s="4" t="s">
        <v>25</v>
      </c>
      <c r="I27" s="5" t="s">
        <v>26</v>
      </c>
      <c r="J27" s="4" t="s">
        <v>27</v>
      </c>
      <c r="K27" s="4" t="s">
        <v>28</v>
      </c>
      <c r="L27" s="4" t="s">
        <v>29</v>
      </c>
      <c r="M27" s="4" t="s">
        <v>30</v>
      </c>
      <c r="N27" s="5" t="s">
        <v>31</v>
      </c>
      <c r="O27" s="5" t="s">
        <v>32</v>
      </c>
      <c r="P27" s="5" t="s">
        <v>32</v>
      </c>
      <c r="Q27" s="5" t="s">
        <v>32</v>
      </c>
      <c r="R27" t="s">
        <v>33</v>
      </c>
      <c r="S27" t="s">
        <v>32</v>
      </c>
      <c r="T27" s="1"/>
      <c r="U27" s="1"/>
      <c r="V27" s="2"/>
    </row>
    <row r="28" spans="1:22" x14ac:dyDescent="0.45">
      <c r="A28" t="s">
        <v>712</v>
      </c>
      <c r="B28" t="s">
        <v>2039</v>
      </c>
      <c r="C28" t="s">
        <v>2040</v>
      </c>
      <c r="D28" s="5" t="s">
        <v>2041</v>
      </c>
      <c r="E28" t="s">
        <v>484</v>
      </c>
      <c r="F28" t="s">
        <v>719</v>
      </c>
      <c r="G28" t="s">
        <v>22</v>
      </c>
      <c r="H28" s="4" t="s">
        <v>25</v>
      </c>
      <c r="I28" s="5" t="s">
        <v>188</v>
      </c>
      <c r="J28" s="4" t="s">
        <v>189</v>
      </c>
      <c r="K28" s="4" t="s">
        <v>190</v>
      </c>
      <c r="L28" s="4" t="s">
        <v>29</v>
      </c>
      <c r="M28" s="4" t="s">
        <v>30</v>
      </c>
      <c r="N28" s="5" t="s">
        <v>31</v>
      </c>
      <c r="O28" s="5" t="s">
        <v>32</v>
      </c>
      <c r="P28" s="5" t="s">
        <v>32</v>
      </c>
      <c r="Q28" s="5" t="s">
        <v>32</v>
      </c>
      <c r="R28" t="s">
        <v>33</v>
      </c>
    </row>
    <row r="29" spans="1:22" x14ac:dyDescent="0.45">
      <c r="A29" t="s">
        <v>712</v>
      </c>
      <c r="B29" t="s">
        <v>2039</v>
      </c>
      <c r="C29" t="s">
        <v>2040</v>
      </c>
      <c r="D29" s="5" t="s">
        <v>2041</v>
      </c>
      <c r="E29" t="s">
        <v>84</v>
      </c>
      <c r="F29" t="s">
        <v>751</v>
      </c>
      <c r="G29" t="s">
        <v>22</v>
      </c>
      <c r="H29" s="4" t="s">
        <v>85</v>
      </c>
      <c r="I29" s="5" t="s">
        <v>26</v>
      </c>
      <c r="J29" s="4" t="s">
        <v>27</v>
      </c>
      <c r="K29" s="4" t="s">
        <v>28</v>
      </c>
      <c r="L29" s="4" t="s">
        <v>29</v>
      </c>
      <c r="M29" s="4" t="s">
        <v>30</v>
      </c>
      <c r="N29" s="5" t="s">
        <v>31</v>
      </c>
      <c r="O29" s="5" t="s">
        <v>32</v>
      </c>
      <c r="P29" s="5" t="s">
        <v>32</v>
      </c>
      <c r="Q29" s="5" t="s">
        <v>32</v>
      </c>
      <c r="R29" t="s">
        <v>33</v>
      </c>
    </row>
    <row r="30" spans="1:22" x14ac:dyDescent="0.45">
      <c r="A30" t="s">
        <v>712</v>
      </c>
      <c r="B30" t="s">
        <v>2039</v>
      </c>
      <c r="C30" t="s">
        <v>2040</v>
      </c>
      <c r="D30" s="5" t="s">
        <v>2041</v>
      </c>
      <c r="E30" t="s">
        <v>321</v>
      </c>
      <c r="F30" t="s">
        <v>928</v>
      </c>
      <c r="G30" t="s">
        <v>309</v>
      </c>
      <c r="H30" s="4" t="s">
        <v>187</v>
      </c>
      <c r="I30" s="5" t="s">
        <v>188</v>
      </c>
      <c r="J30" s="4" t="s">
        <v>312</v>
      </c>
      <c r="K30" s="4" t="s">
        <v>2043</v>
      </c>
      <c r="L30" s="4" t="s">
        <v>2049</v>
      </c>
      <c r="M30" s="4" t="s">
        <v>30</v>
      </c>
      <c r="N30" s="5" t="s">
        <v>331</v>
      </c>
      <c r="O30" s="5" t="s">
        <v>32</v>
      </c>
      <c r="P30" s="5" t="s">
        <v>32</v>
      </c>
      <c r="Q30" s="5" t="s">
        <v>32</v>
      </c>
      <c r="R30" t="s">
        <v>32</v>
      </c>
    </row>
    <row r="31" spans="1:22" x14ac:dyDescent="0.45">
      <c r="A31" t="s">
        <v>712</v>
      </c>
      <c r="B31" t="s">
        <v>2039</v>
      </c>
      <c r="C31" t="s">
        <v>2040</v>
      </c>
      <c r="D31" s="5" t="s">
        <v>2041</v>
      </c>
      <c r="E31" t="s">
        <v>93</v>
      </c>
      <c r="F31" t="s">
        <v>757</v>
      </c>
      <c r="G31" t="s">
        <v>22</v>
      </c>
      <c r="H31" s="4" t="s">
        <v>71</v>
      </c>
      <c r="I31" s="5" t="s">
        <v>26</v>
      </c>
      <c r="J31" s="4" t="s">
        <v>27</v>
      </c>
      <c r="K31" s="4" t="s">
        <v>28</v>
      </c>
      <c r="L31" s="4" t="s">
        <v>29</v>
      </c>
      <c r="M31" s="4" t="s">
        <v>30</v>
      </c>
      <c r="N31" s="5" t="s">
        <v>31</v>
      </c>
      <c r="O31" s="5" t="s">
        <v>32</v>
      </c>
      <c r="P31" s="5" t="s">
        <v>32</v>
      </c>
      <c r="Q31" s="5" t="s">
        <v>32</v>
      </c>
      <c r="R3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workbookViewId="0">
      <selection activeCell="C2" sqref="C2:C27"/>
    </sheetView>
  </sheetViews>
  <sheetFormatPr defaultRowHeight="14.25" x14ac:dyDescent="0.45"/>
  <cols>
    <col min="1" max="1" width="21.265625" customWidth="1"/>
    <col min="2" max="2" width="27.86328125" customWidth="1"/>
    <col min="3" max="3" width="25" customWidth="1"/>
    <col min="4" max="4" width="19.265625" customWidth="1"/>
    <col min="5" max="5" width="31.86328125" customWidth="1"/>
    <col min="6" max="6" width="13.265625" customWidth="1"/>
    <col min="7" max="7" width="20.1328125" customWidth="1"/>
    <col min="8" max="8" width="9" customWidth="1"/>
    <col min="9" max="9" width="16.3984375" bestFit="1" customWidth="1"/>
    <col min="10" max="10" width="14.265625" customWidth="1"/>
    <col min="11" max="11" width="11.86328125" customWidth="1"/>
    <col min="12" max="12" width="13.73046875" customWidth="1"/>
    <col min="13" max="13" width="10.265625" bestFit="1" customWidth="1"/>
    <col min="14" max="14" width="15.1328125" bestFit="1" customWidth="1"/>
    <col min="15" max="15" width="12.86328125" bestFit="1" customWidth="1"/>
    <col min="16" max="16" width="22.265625" customWidth="1"/>
    <col min="17" max="17" width="20.73046875" customWidth="1"/>
    <col min="18" max="18" width="12.73046875" customWidth="1"/>
  </cols>
  <sheetData>
    <row r="1" spans="1:18" x14ac:dyDescent="0.45">
      <c r="A1" t="s">
        <v>0</v>
      </c>
      <c r="B1" t="s">
        <v>2036</v>
      </c>
      <c r="C1" t="s">
        <v>2037</v>
      </c>
      <c r="D1" t="s">
        <v>2038</v>
      </c>
      <c r="E1" t="s">
        <v>3</v>
      </c>
      <c r="F1" t="s">
        <v>2</v>
      </c>
      <c r="G1" t="s">
        <v>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45">
      <c r="A2" t="s">
        <v>712</v>
      </c>
      <c r="B2" t="s">
        <v>2039</v>
      </c>
      <c r="C2" t="s">
        <v>2040</v>
      </c>
      <c r="D2" s="5" t="s">
        <v>2041</v>
      </c>
      <c r="E2" t="s">
        <v>43</v>
      </c>
      <c r="F2" t="s">
        <v>719</v>
      </c>
      <c r="G2" t="s">
        <v>22</v>
      </c>
      <c r="H2" s="4" t="s">
        <v>25</v>
      </c>
      <c r="I2" s="5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5" t="s">
        <v>31</v>
      </c>
      <c r="O2" s="5" t="s">
        <v>32</v>
      </c>
      <c r="P2" s="5" t="s">
        <v>32</v>
      </c>
      <c r="Q2" s="5" t="s">
        <v>32</v>
      </c>
      <c r="R2" t="s">
        <v>33</v>
      </c>
    </row>
    <row r="3" spans="1:18" x14ac:dyDescent="0.45">
      <c r="A3" t="s">
        <v>712</v>
      </c>
      <c r="B3" t="s">
        <v>2039</v>
      </c>
      <c r="C3" t="s">
        <v>2040</v>
      </c>
      <c r="D3" s="5" t="s">
        <v>2041</v>
      </c>
      <c r="E3" t="s">
        <v>24</v>
      </c>
      <c r="F3" t="s">
        <v>713</v>
      </c>
      <c r="G3" t="s">
        <v>22</v>
      </c>
      <c r="H3" s="4" t="s">
        <v>25</v>
      </c>
      <c r="I3" s="5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5" t="s">
        <v>31</v>
      </c>
      <c r="O3" s="5" t="s">
        <v>32</v>
      </c>
      <c r="P3" s="5" t="s">
        <v>32</v>
      </c>
      <c r="Q3" s="5" t="s">
        <v>32</v>
      </c>
      <c r="R3" t="s">
        <v>33</v>
      </c>
    </row>
    <row r="4" spans="1:18" x14ac:dyDescent="0.45">
      <c r="A4" t="s">
        <v>712</v>
      </c>
      <c r="B4" t="s">
        <v>2039</v>
      </c>
      <c r="C4" t="s">
        <v>2040</v>
      </c>
      <c r="D4" s="5" t="s">
        <v>2041</v>
      </c>
      <c r="E4" t="s">
        <v>771</v>
      </c>
      <c r="F4" t="s">
        <v>770</v>
      </c>
      <c r="G4" t="s">
        <v>22</v>
      </c>
      <c r="H4" s="4" t="s">
        <v>233</v>
      </c>
      <c r="I4" s="5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5" t="s">
        <v>31</v>
      </c>
      <c r="O4" s="5" t="s">
        <v>32</v>
      </c>
      <c r="P4" s="5" t="s">
        <v>32</v>
      </c>
      <c r="Q4" s="5" t="s">
        <v>32</v>
      </c>
      <c r="R4" t="s">
        <v>33</v>
      </c>
    </row>
    <row r="5" spans="1:18" x14ac:dyDescent="0.45">
      <c r="A5" t="s">
        <v>712</v>
      </c>
      <c r="B5" t="s">
        <v>2039</v>
      </c>
      <c r="C5" t="s">
        <v>2040</v>
      </c>
      <c r="D5" s="5" t="s">
        <v>2041</v>
      </c>
      <c r="E5" t="s">
        <v>771</v>
      </c>
      <c r="F5" t="s">
        <v>770</v>
      </c>
      <c r="G5" t="s">
        <v>22</v>
      </c>
      <c r="H5" s="4" t="s">
        <v>233</v>
      </c>
      <c r="I5" s="5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5" t="s">
        <v>31</v>
      </c>
      <c r="O5" s="5" t="s">
        <v>32</v>
      </c>
      <c r="P5" s="5" t="s">
        <v>32</v>
      </c>
      <c r="Q5" s="5" t="s">
        <v>32</v>
      </c>
      <c r="R5" t="s">
        <v>33</v>
      </c>
    </row>
    <row r="6" spans="1:18" x14ac:dyDescent="0.45">
      <c r="A6" t="s">
        <v>712</v>
      </c>
      <c r="B6" t="s">
        <v>2039</v>
      </c>
      <c r="C6" t="s">
        <v>2040</v>
      </c>
      <c r="D6" s="5" t="s">
        <v>2041</v>
      </c>
      <c r="E6" t="s">
        <v>955</v>
      </c>
      <c r="F6" t="s">
        <v>954</v>
      </c>
      <c r="G6" t="s">
        <v>661</v>
      </c>
      <c r="H6" s="4" t="s">
        <v>25</v>
      </c>
      <c r="I6" s="5" t="s">
        <v>26</v>
      </c>
      <c r="J6" s="4" t="s">
        <v>663</v>
      </c>
      <c r="K6" s="4" t="s">
        <v>28</v>
      </c>
      <c r="L6" s="4" t="s">
        <v>664</v>
      </c>
      <c r="M6" s="4" t="s">
        <v>30</v>
      </c>
      <c r="N6" s="5" t="s">
        <v>665</v>
      </c>
      <c r="O6" s="5" t="s">
        <v>64</v>
      </c>
      <c r="P6" s="5" t="s">
        <v>960</v>
      </c>
      <c r="Q6" s="5" t="s">
        <v>32</v>
      </c>
      <c r="R6" t="s">
        <v>33</v>
      </c>
    </row>
    <row r="7" spans="1:18" x14ac:dyDescent="0.45">
      <c r="A7" t="s">
        <v>712</v>
      </c>
      <c r="B7" t="s">
        <v>2039</v>
      </c>
      <c r="C7" t="s">
        <v>2040</v>
      </c>
      <c r="D7" s="5" t="s">
        <v>2041</v>
      </c>
      <c r="E7" t="s">
        <v>946</v>
      </c>
      <c r="F7" t="s">
        <v>947</v>
      </c>
      <c r="G7" t="s">
        <v>946</v>
      </c>
      <c r="H7" s="4" t="s">
        <v>76</v>
      </c>
      <c r="I7" s="5" t="s">
        <v>26</v>
      </c>
      <c r="J7" s="4" t="s">
        <v>27</v>
      </c>
      <c r="K7" s="4" t="s">
        <v>28</v>
      </c>
      <c r="L7" s="4" t="s">
        <v>32</v>
      </c>
      <c r="M7" s="4" t="s">
        <v>30</v>
      </c>
      <c r="N7" s="5" t="s">
        <v>665</v>
      </c>
      <c r="O7" s="5" t="s">
        <v>32</v>
      </c>
      <c r="P7" s="5" t="s">
        <v>32</v>
      </c>
      <c r="Q7" s="5" t="s">
        <v>32</v>
      </c>
      <c r="R7" t="s">
        <v>32</v>
      </c>
    </row>
    <row r="8" spans="1:18" x14ac:dyDescent="0.45">
      <c r="A8" t="s">
        <v>712</v>
      </c>
      <c r="B8" t="s">
        <v>2039</v>
      </c>
      <c r="C8" t="s">
        <v>2040</v>
      </c>
      <c r="D8" s="5" t="s">
        <v>2041</v>
      </c>
      <c r="E8" t="s">
        <v>778</v>
      </c>
      <c r="F8" t="s">
        <v>777</v>
      </c>
      <c r="G8" t="s">
        <v>22</v>
      </c>
      <c r="H8" s="4" t="s">
        <v>25</v>
      </c>
      <c r="I8" s="5" t="s">
        <v>26</v>
      </c>
      <c r="J8" s="4" t="s">
        <v>27</v>
      </c>
      <c r="K8" s="4" t="s">
        <v>28</v>
      </c>
      <c r="L8" s="4" t="s">
        <v>29</v>
      </c>
      <c r="M8" s="4" t="s">
        <v>30</v>
      </c>
      <c r="N8" s="5" t="s">
        <v>31</v>
      </c>
      <c r="O8" s="5" t="s">
        <v>32</v>
      </c>
      <c r="P8" s="5" t="s">
        <v>32</v>
      </c>
      <c r="Q8" s="5" t="s">
        <v>32</v>
      </c>
      <c r="R8" t="s">
        <v>33</v>
      </c>
    </row>
    <row r="9" spans="1:18" x14ac:dyDescent="0.45">
      <c r="A9" t="s">
        <v>712</v>
      </c>
      <c r="B9" t="s">
        <v>2039</v>
      </c>
      <c r="C9" t="s">
        <v>2040</v>
      </c>
      <c r="D9" s="5" t="s">
        <v>2041</v>
      </c>
      <c r="E9" t="s">
        <v>969</v>
      </c>
      <c r="F9" t="s">
        <v>968</v>
      </c>
      <c r="G9" t="s">
        <v>672</v>
      </c>
      <c r="H9" s="4" t="s">
        <v>326</v>
      </c>
      <c r="I9" s="5" t="s">
        <v>26</v>
      </c>
      <c r="J9" s="4" t="s">
        <v>2013</v>
      </c>
      <c r="K9" s="4" t="s">
        <v>32</v>
      </c>
      <c r="L9" s="4" t="s">
        <v>2045</v>
      </c>
      <c r="M9" s="4" t="s">
        <v>30</v>
      </c>
      <c r="N9" s="5" t="s">
        <v>1922</v>
      </c>
      <c r="O9" s="5" t="s">
        <v>32</v>
      </c>
      <c r="P9" s="5" t="s">
        <v>32</v>
      </c>
      <c r="Q9" s="5" t="s">
        <v>32</v>
      </c>
      <c r="R9" t="s">
        <v>32</v>
      </c>
    </row>
    <row r="10" spans="1:18" x14ac:dyDescent="0.45">
      <c r="A10" t="s">
        <v>712</v>
      </c>
      <c r="B10" t="s">
        <v>2039</v>
      </c>
      <c r="C10" t="s">
        <v>2040</v>
      </c>
      <c r="D10" s="5" t="s">
        <v>2041</v>
      </c>
      <c r="E10" t="s">
        <v>951</v>
      </c>
      <c r="F10" t="s">
        <v>950</v>
      </c>
      <c r="G10" t="s">
        <v>59</v>
      </c>
      <c r="H10" s="4" t="s">
        <v>326</v>
      </c>
      <c r="I10" s="5" t="s">
        <v>26</v>
      </c>
      <c r="J10" s="4" t="s">
        <v>2013</v>
      </c>
      <c r="K10" s="4" t="s">
        <v>32</v>
      </c>
      <c r="L10" s="4" t="s">
        <v>2046</v>
      </c>
      <c r="M10" s="4" t="s">
        <v>63</v>
      </c>
      <c r="N10" s="5" t="s">
        <v>64</v>
      </c>
      <c r="O10" s="5" t="s">
        <v>32</v>
      </c>
      <c r="P10" s="5" t="s">
        <v>65</v>
      </c>
      <c r="Q10" s="5" t="s">
        <v>961</v>
      </c>
      <c r="R10" t="s">
        <v>32</v>
      </c>
    </row>
    <row r="11" spans="1:18" x14ac:dyDescent="0.45">
      <c r="A11" t="s">
        <v>712</v>
      </c>
      <c r="B11" t="s">
        <v>2039</v>
      </c>
      <c r="C11" t="s">
        <v>2040</v>
      </c>
      <c r="D11" s="5" t="s">
        <v>2041</v>
      </c>
      <c r="E11" t="s">
        <v>642</v>
      </c>
      <c r="F11" t="s">
        <v>914</v>
      </c>
      <c r="G11" t="s">
        <v>309</v>
      </c>
      <c r="H11" s="4" t="s">
        <v>85</v>
      </c>
      <c r="I11" s="5" t="s">
        <v>26</v>
      </c>
      <c r="J11" s="4" t="s">
        <v>2013</v>
      </c>
      <c r="K11" s="4" t="s">
        <v>32</v>
      </c>
      <c r="L11" s="4" t="s">
        <v>2047</v>
      </c>
      <c r="M11" s="4" t="s">
        <v>30</v>
      </c>
      <c r="N11" s="5" t="s">
        <v>331</v>
      </c>
      <c r="O11" s="5" t="s">
        <v>32</v>
      </c>
      <c r="P11" s="5" t="s">
        <v>32</v>
      </c>
      <c r="Q11" s="5" t="s">
        <v>32</v>
      </c>
      <c r="R11" t="s">
        <v>32</v>
      </c>
    </row>
    <row r="12" spans="1:18" x14ac:dyDescent="0.45">
      <c r="A12" t="s">
        <v>712</v>
      </c>
      <c r="B12" t="s">
        <v>2039</v>
      </c>
      <c r="C12" t="s">
        <v>2040</v>
      </c>
      <c r="D12" s="5" t="s">
        <v>2041</v>
      </c>
      <c r="E12" t="s">
        <v>911</v>
      </c>
      <c r="F12" t="s">
        <v>910</v>
      </c>
      <c r="G12" t="s">
        <v>309</v>
      </c>
      <c r="H12" s="4" t="s">
        <v>85</v>
      </c>
      <c r="I12" s="5" t="s">
        <v>26</v>
      </c>
      <c r="J12" s="4" t="s">
        <v>2013</v>
      </c>
      <c r="K12" s="4" t="s">
        <v>32</v>
      </c>
      <c r="L12" s="4" t="s">
        <v>2047</v>
      </c>
      <c r="M12" s="4" t="s">
        <v>30</v>
      </c>
      <c r="N12" s="5" t="s">
        <v>331</v>
      </c>
      <c r="O12" s="5" t="s">
        <v>32</v>
      </c>
      <c r="P12" s="5" t="s">
        <v>32</v>
      </c>
      <c r="Q12" s="5" t="s">
        <v>32</v>
      </c>
      <c r="R12" t="s">
        <v>32</v>
      </c>
    </row>
    <row r="13" spans="1:18" x14ac:dyDescent="0.45">
      <c r="A13" t="s">
        <v>712</v>
      </c>
      <c r="B13" t="s">
        <v>2039</v>
      </c>
      <c r="C13" t="s">
        <v>2040</v>
      </c>
      <c r="D13" s="5" t="s">
        <v>2041</v>
      </c>
      <c r="E13" t="s">
        <v>47</v>
      </c>
      <c r="F13" t="s">
        <v>730</v>
      </c>
      <c r="G13" t="s">
        <v>22</v>
      </c>
      <c r="H13" s="4" t="s">
        <v>25</v>
      </c>
      <c r="I13" s="5" t="s">
        <v>26</v>
      </c>
      <c r="J13" s="4" t="s">
        <v>27</v>
      </c>
      <c r="K13" s="4" t="s">
        <v>28</v>
      </c>
      <c r="L13" s="4" t="s">
        <v>29</v>
      </c>
      <c r="M13" s="4" t="s">
        <v>30</v>
      </c>
      <c r="N13" s="5" t="s">
        <v>31</v>
      </c>
      <c r="O13" s="5" t="s">
        <v>32</v>
      </c>
      <c r="P13" s="5" t="s">
        <v>32</v>
      </c>
      <c r="Q13" s="5" t="s">
        <v>32</v>
      </c>
      <c r="R13" t="s">
        <v>33</v>
      </c>
    </row>
    <row r="14" spans="1:18" x14ac:dyDescent="0.45">
      <c r="A14" t="s">
        <v>712</v>
      </c>
      <c r="B14" t="s">
        <v>2039</v>
      </c>
      <c r="C14" t="s">
        <v>2040</v>
      </c>
      <c r="D14" s="5" t="s">
        <v>2041</v>
      </c>
      <c r="E14" t="s">
        <v>727</v>
      </c>
      <c r="F14" t="s">
        <v>850</v>
      </c>
      <c r="G14" t="s">
        <v>213</v>
      </c>
      <c r="H14" s="4" t="s">
        <v>76</v>
      </c>
      <c r="I14" s="5" t="s">
        <v>188</v>
      </c>
      <c r="J14" s="4" t="s">
        <v>189</v>
      </c>
      <c r="K14" s="4" t="s">
        <v>287</v>
      </c>
      <c r="L14" s="4" t="s">
        <v>2042</v>
      </c>
      <c r="M14" s="4" t="s">
        <v>30</v>
      </c>
      <c r="N14" s="5" t="s">
        <v>31</v>
      </c>
      <c r="O14" s="5" t="s">
        <v>32</v>
      </c>
      <c r="P14" s="5" t="s">
        <v>32</v>
      </c>
      <c r="Q14" s="5" t="s">
        <v>32</v>
      </c>
      <c r="R14" t="s">
        <v>33</v>
      </c>
    </row>
    <row r="15" spans="1:18" x14ac:dyDescent="0.45">
      <c r="A15" t="s">
        <v>712</v>
      </c>
      <c r="B15" t="s">
        <v>2039</v>
      </c>
      <c r="C15" t="s">
        <v>2040</v>
      </c>
      <c r="D15" s="5" t="s">
        <v>2041</v>
      </c>
      <c r="E15" t="s">
        <v>300</v>
      </c>
      <c r="F15" t="s">
        <v>895</v>
      </c>
      <c r="G15" t="s">
        <v>298</v>
      </c>
      <c r="H15" s="4" t="s">
        <v>85</v>
      </c>
      <c r="I15" s="5" t="s">
        <v>32</v>
      </c>
      <c r="J15" s="4" t="s">
        <v>32</v>
      </c>
      <c r="K15" s="4" t="s">
        <v>32</v>
      </c>
      <c r="L15" s="4" t="s">
        <v>32</v>
      </c>
      <c r="M15" s="4" t="s">
        <v>30</v>
      </c>
      <c r="N15" s="5" t="s">
        <v>302</v>
      </c>
      <c r="O15" s="5" t="s">
        <v>32</v>
      </c>
      <c r="P15" s="5" t="s">
        <v>32</v>
      </c>
      <c r="Q15" s="5" t="s">
        <v>32</v>
      </c>
      <c r="R15" t="s">
        <v>32</v>
      </c>
    </row>
    <row r="16" spans="1:18" x14ac:dyDescent="0.45">
      <c r="A16" t="s">
        <v>712</v>
      </c>
      <c r="B16" t="s">
        <v>2039</v>
      </c>
      <c r="C16" t="s">
        <v>2040</v>
      </c>
      <c r="D16" s="5" t="s">
        <v>2041</v>
      </c>
      <c r="E16" t="s">
        <v>311</v>
      </c>
      <c r="F16" t="s">
        <v>922</v>
      </c>
      <c r="G16" t="s">
        <v>309</v>
      </c>
      <c r="H16" s="4" t="s">
        <v>233</v>
      </c>
      <c r="I16" s="5" t="s">
        <v>188</v>
      </c>
      <c r="J16" s="4" t="s">
        <v>312</v>
      </c>
      <c r="K16" s="4" t="s">
        <v>2043</v>
      </c>
      <c r="L16" s="4" t="s">
        <v>2044</v>
      </c>
      <c r="M16" s="4" t="s">
        <v>30</v>
      </c>
      <c r="N16" s="5" t="s">
        <v>331</v>
      </c>
      <c r="O16" s="5" t="s">
        <v>32</v>
      </c>
      <c r="P16" s="5" t="s">
        <v>32</v>
      </c>
      <c r="Q16" s="5" t="s">
        <v>32</v>
      </c>
      <c r="R16" t="s">
        <v>32</v>
      </c>
    </row>
    <row r="17" spans="1:22" x14ac:dyDescent="0.45">
      <c r="A17" t="s">
        <v>712</v>
      </c>
      <c r="B17" t="s">
        <v>2039</v>
      </c>
      <c r="C17" t="s">
        <v>2040</v>
      </c>
      <c r="D17" s="5" t="s">
        <v>2041</v>
      </c>
      <c r="E17" t="s">
        <v>836</v>
      </c>
      <c r="F17" t="s">
        <v>835</v>
      </c>
      <c r="G17" t="s">
        <v>22</v>
      </c>
      <c r="H17" s="4" t="s">
        <v>71</v>
      </c>
      <c r="I17" s="5" t="s">
        <v>26</v>
      </c>
      <c r="J17" s="4" t="s">
        <v>27</v>
      </c>
      <c r="K17" s="4" t="s">
        <v>28</v>
      </c>
      <c r="L17" s="4" t="s">
        <v>29</v>
      </c>
      <c r="M17" s="4" t="s">
        <v>30</v>
      </c>
      <c r="N17" s="5" t="s">
        <v>31</v>
      </c>
      <c r="O17" s="5" t="s">
        <v>32</v>
      </c>
      <c r="P17" s="5" t="s">
        <v>32</v>
      </c>
      <c r="Q17" s="5" t="s">
        <v>32</v>
      </c>
      <c r="R17" t="s">
        <v>33</v>
      </c>
    </row>
    <row r="18" spans="1:22" x14ac:dyDescent="0.45">
      <c r="A18" t="s">
        <v>712</v>
      </c>
      <c r="B18" t="s">
        <v>2039</v>
      </c>
      <c r="C18" t="s">
        <v>2040</v>
      </c>
      <c r="D18" s="5" t="s">
        <v>2041</v>
      </c>
      <c r="E18" t="s">
        <v>80</v>
      </c>
      <c r="F18" t="s">
        <v>748</v>
      </c>
      <c r="G18" t="s">
        <v>22</v>
      </c>
      <c r="H18" s="4" t="s">
        <v>71</v>
      </c>
      <c r="I18" s="5" t="s">
        <v>188</v>
      </c>
      <c r="J18" s="4" t="s">
        <v>189</v>
      </c>
      <c r="K18" s="4" t="s">
        <v>190</v>
      </c>
      <c r="L18" s="4" t="s">
        <v>29</v>
      </c>
      <c r="M18" s="4" t="s">
        <v>30</v>
      </c>
      <c r="N18" s="5" t="s">
        <v>31</v>
      </c>
      <c r="O18" s="5" t="s">
        <v>32</v>
      </c>
      <c r="P18" s="5" t="s">
        <v>32</v>
      </c>
      <c r="Q18" s="5" t="s">
        <v>32</v>
      </c>
      <c r="R18" t="s">
        <v>33</v>
      </c>
    </row>
    <row r="19" spans="1:22" x14ac:dyDescent="0.45">
      <c r="A19" t="s">
        <v>712</v>
      </c>
      <c r="B19" t="s">
        <v>2039</v>
      </c>
      <c r="C19" t="s">
        <v>2040</v>
      </c>
      <c r="D19" s="5" t="s">
        <v>2041</v>
      </c>
      <c r="E19" t="s">
        <v>75</v>
      </c>
      <c r="F19" t="s">
        <v>745</v>
      </c>
      <c r="G19" t="s">
        <v>22</v>
      </c>
      <c r="H19" s="4" t="s">
        <v>76</v>
      </c>
      <c r="I19" s="5" t="s">
        <v>188</v>
      </c>
      <c r="J19" s="4" t="s">
        <v>189</v>
      </c>
      <c r="K19" s="4" t="s">
        <v>190</v>
      </c>
      <c r="L19" s="4" t="s">
        <v>29</v>
      </c>
      <c r="M19" s="4" t="s">
        <v>30</v>
      </c>
      <c r="N19" s="5" t="s">
        <v>31</v>
      </c>
      <c r="O19" s="5" t="s">
        <v>32</v>
      </c>
      <c r="P19" s="5" t="s">
        <v>32</v>
      </c>
      <c r="Q19" s="5" t="s">
        <v>32</v>
      </c>
      <c r="R19" t="s">
        <v>33</v>
      </c>
    </row>
    <row r="20" spans="1:22" x14ac:dyDescent="0.45">
      <c r="A20" t="s">
        <v>712</v>
      </c>
      <c r="B20" t="s">
        <v>2039</v>
      </c>
      <c r="C20" t="s">
        <v>2040</v>
      </c>
      <c r="D20" s="5" t="s">
        <v>2041</v>
      </c>
      <c r="E20" t="s">
        <v>372</v>
      </c>
      <c r="F20" t="s">
        <v>975</v>
      </c>
      <c r="G20" t="s">
        <v>372</v>
      </c>
      <c r="H20" s="4" t="s">
        <v>56</v>
      </c>
      <c r="I20" s="5" t="s">
        <v>188</v>
      </c>
      <c r="J20" s="4" t="s">
        <v>189</v>
      </c>
      <c r="K20" s="4" t="s">
        <v>190</v>
      </c>
      <c r="L20" s="4" t="s">
        <v>374</v>
      </c>
      <c r="M20" s="4" t="s">
        <v>30</v>
      </c>
      <c r="N20" s="5" t="s">
        <v>32</v>
      </c>
      <c r="O20" s="5" t="s">
        <v>32</v>
      </c>
      <c r="P20" s="5" t="s">
        <v>32</v>
      </c>
      <c r="Q20" s="5" t="s">
        <v>32</v>
      </c>
      <c r="R20" t="s">
        <v>32</v>
      </c>
    </row>
    <row r="21" spans="1:22" x14ac:dyDescent="0.45">
      <c r="A21" t="s">
        <v>712</v>
      </c>
      <c r="B21" t="s">
        <v>2039</v>
      </c>
      <c r="C21" t="s">
        <v>2040</v>
      </c>
      <c r="D21" s="5" t="s">
        <v>2041</v>
      </c>
      <c r="E21" t="s">
        <v>142</v>
      </c>
      <c r="F21" t="s">
        <v>789</v>
      </c>
      <c r="G21" t="s">
        <v>22</v>
      </c>
      <c r="H21" s="4" t="s">
        <v>25</v>
      </c>
      <c r="I21" s="5" t="s">
        <v>26</v>
      </c>
      <c r="J21" s="4" t="s">
        <v>27</v>
      </c>
      <c r="K21" s="4" t="s">
        <v>28</v>
      </c>
      <c r="L21" s="4" t="s">
        <v>29</v>
      </c>
      <c r="M21" s="4" t="s">
        <v>30</v>
      </c>
      <c r="N21" s="5" t="s">
        <v>31</v>
      </c>
      <c r="O21" s="5" t="s">
        <v>32</v>
      </c>
      <c r="P21" s="5" t="s">
        <v>32</v>
      </c>
      <c r="Q21" s="5" t="s">
        <v>32</v>
      </c>
      <c r="R21" t="s">
        <v>33</v>
      </c>
    </row>
    <row r="22" spans="1:22" x14ac:dyDescent="0.45">
      <c r="A22" t="s">
        <v>712</v>
      </c>
      <c r="B22" t="s">
        <v>2039</v>
      </c>
      <c r="C22" t="s">
        <v>2040</v>
      </c>
      <c r="D22" s="5" t="s">
        <v>2041</v>
      </c>
      <c r="E22" t="s">
        <v>93</v>
      </c>
      <c r="F22" t="s">
        <v>435</v>
      </c>
      <c r="G22" t="s">
        <v>22</v>
      </c>
      <c r="H22" s="4" t="s">
        <v>71</v>
      </c>
      <c r="I22" s="5" t="s">
        <v>26</v>
      </c>
      <c r="J22" s="4" t="s">
        <v>27</v>
      </c>
      <c r="K22" s="4" t="s">
        <v>28</v>
      </c>
      <c r="L22" s="4" t="s">
        <v>29</v>
      </c>
      <c r="M22" s="4" t="s">
        <v>30</v>
      </c>
      <c r="N22" s="5" t="s">
        <v>31</v>
      </c>
      <c r="O22" s="5" t="s">
        <v>32</v>
      </c>
      <c r="P22" s="5" t="s">
        <v>32</v>
      </c>
      <c r="Q22" s="5" t="s">
        <v>32</v>
      </c>
      <c r="R22" t="s">
        <v>33</v>
      </c>
    </row>
    <row r="23" spans="1:22" x14ac:dyDescent="0.45">
      <c r="A23" t="s">
        <v>712</v>
      </c>
      <c r="B23" t="s">
        <v>2039</v>
      </c>
      <c r="C23" t="s">
        <v>2040</v>
      </c>
      <c r="D23" s="5" t="s">
        <v>2041</v>
      </c>
      <c r="E23" t="s">
        <v>237</v>
      </c>
      <c r="F23" t="s">
        <v>867</v>
      </c>
      <c r="G23" t="s">
        <v>59</v>
      </c>
      <c r="H23" s="4" t="s">
        <v>233</v>
      </c>
      <c r="I23" s="5" t="s">
        <v>188</v>
      </c>
      <c r="J23" s="4" t="s">
        <v>246</v>
      </c>
      <c r="K23" s="4" t="s">
        <v>190</v>
      </c>
      <c r="L23" s="4" t="s">
        <v>2048</v>
      </c>
      <c r="M23" s="4" t="s">
        <v>63</v>
      </c>
      <c r="N23" s="5" t="s">
        <v>64</v>
      </c>
      <c r="O23" s="5" t="s">
        <v>32</v>
      </c>
      <c r="P23" s="5" t="s">
        <v>246</v>
      </c>
      <c r="Q23" s="5" t="s">
        <v>247</v>
      </c>
      <c r="R23" t="s">
        <v>32</v>
      </c>
    </row>
    <row r="24" spans="1:22" x14ac:dyDescent="0.45">
      <c r="A24" t="s">
        <v>712</v>
      </c>
      <c r="B24" t="s">
        <v>2039</v>
      </c>
      <c r="C24" t="s">
        <v>2040</v>
      </c>
      <c r="D24" s="5" t="s">
        <v>2041</v>
      </c>
      <c r="E24" t="s">
        <v>174</v>
      </c>
      <c r="F24" t="s">
        <v>817</v>
      </c>
      <c r="G24" t="s">
        <v>22</v>
      </c>
      <c r="H24" s="4" t="s">
        <v>25</v>
      </c>
      <c r="I24" s="5" t="s">
        <v>26</v>
      </c>
      <c r="J24" s="4" t="s">
        <v>27</v>
      </c>
      <c r="K24" s="4" t="s">
        <v>28</v>
      </c>
      <c r="L24" s="4" t="s">
        <v>29</v>
      </c>
      <c r="M24" s="4" t="s">
        <v>30</v>
      </c>
      <c r="N24" s="5" t="s">
        <v>31</v>
      </c>
      <c r="O24" s="5" t="s">
        <v>32</v>
      </c>
      <c r="P24" s="5" t="s">
        <v>32</v>
      </c>
      <c r="Q24" s="5" t="s">
        <v>32</v>
      </c>
      <c r="R24" t="s">
        <v>33</v>
      </c>
      <c r="S24" t="s">
        <v>32</v>
      </c>
      <c r="T24" s="1"/>
      <c r="U24" s="1"/>
      <c r="V24" s="2"/>
    </row>
    <row r="25" spans="1:22" x14ac:dyDescent="0.45">
      <c r="A25" t="s">
        <v>712</v>
      </c>
      <c r="B25" t="s">
        <v>2039</v>
      </c>
      <c r="C25" t="s">
        <v>2040</v>
      </c>
      <c r="D25" s="5" t="s">
        <v>2041</v>
      </c>
      <c r="E25" t="s">
        <v>484</v>
      </c>
      <c r="F25" t="s">
        <v>719</v>
      </c>
      <c r="G25" t="s">
        <v>22</v>
      </c>
      <c r="H25" s="4" t="s">
        <v>25</v>
      </c>
      <c r="I25" s="5" t="s">
        <v>188</v>
      </c>
      <c r="J25" s="4" t="s">
        <v>189</v>
      </c>
      <c r="K25" s="4" t="s">
        <v>190</v>
      </c>
      <c r="L25" s="4" t="s">
        <v>29</v>
      </c>
      <c r="M25" s="4" t="s">
        <v>30</v>
      </c>
      <c r="N25" s="5" t="s">
        <v>31</v>
      </c>
      <c r="O25" s="5" t="s">
        <v>32</v>
      </c>
      <c r="P25" s="5" t="s">
        <v>32</v>
      </c>
      <c r="Q25" s="5" t="s">
        <v>32</v>
      </c>
      <c r="R25" t="s">
        <v>33</v>
      </c>
    </row>
    <row r="26" spans="1:22" x14ac:dyDescent="0.45">
      <c r="A26" t="s">
        <v>712</v>
      </c>
      <c r="B26" t="s">
        <v>2039</v>
      </c>
      <c r="C26" t="s">
        <v>2040</v>
      </c>
      <c r="D26" s="5" t="s">
        <v>2041</v>
      </c>
      <c r="E26" t="s">
        <v>84</v>
      </c>
      <c r="F26" t="s">
        <v>751</v>
      </c>
      <c r="G26" t="s">
        <v>22</v>
      </c>
      <c r="H26" s="4" t="s">
        <v>85</v>
      </c>
      <c r="I26" s="5" t="s">
        <v>26</v>
      </c>
      <c r="J26" s="4" t="s">
        <v>27</v>
      </c>
      <c r="K26" s="4" t="s">
        <v>28</v>
      </c>
      <c r="L26" s="4" t="s">
        <v>29</v>
      </c>
      <c r="M26" s="4" t="s">
        <v>30</v>
      </c>
      <c r="N26" s="5" t="s">
        <v>31</v>
      </c>
      <c r="O26" s="5" t="s">
        <v>32</v>
      </c>
      <c r="P26" s="5" t="s">
        <v>32</v>
      </c>
      <c r="Q26" s="5" t="s">
        <v>32</v>
      </c>
      <c r="R26" t="s">
        <v>33</v>
      </c>
    </row>
    <row r="27" spans="1:22" x14ac:dyDescent="0.45">
      <c r="A27" t="s">
        <v>712</v>
      </c>
      <c r="B27" t="s">
        <v>2039</v>
      </c>
      <c r="C27" t="s">
        <v>2040</v>
      </c>
      <c r="D27" s="5" t="s">
        <v>2041</v>
      </c>
      <c r="E27" t="s">
        <v>321</v>
      </c>
      <c r="F27" t="s">
        <v>928</v>
      </c>
      <c r="G27" t="s">
        <v>309</v>
      </c>
      <c r="H27" s="4" t="s">
        <v>187</v>
      </c>
      <c r="I27" s="5" t="s">
        <v>188</v>
      </c>
      <c r="J27" s="4" t="s">
        <v>312</v>
      </c>
      <c r="K27" s="4" t="s">
        <v>2043</v>
      </c>
      <c r="L27" s="4" t="s">
        <v>2049</v>
      </c>
      <c r="M27" s="4" t="s">
        <v>30</v>
      </c>
      <c r="N27" s="5" t="s">
        <v>331</v>
      </c>
      <c r="O27" s="5" t="s">
        <v>32</v>
      </c>
      <c r="P27" s="5" t="s">
        <v>32</v>
      </c>
      <c r="Q27" s="5" t="s">
        <v>32</v>
      </c>
      <c r="R2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7"/>
  <sheetViews>
    <sheetView topLeftCell="C1" workbookViewId="0">
      <selection activeCell="F2" sqref="F2"/>
    </sheetView>
  </sheetViews>
  <sheetFormatPr defaultRowHeight="14.25" x14ac:dyDescent="0.45"/>
  <cols>
    <col min="1" max="1" width="20.1328125" bestFit="1" customWidth="1"/>
    <col min="2" max="2" width="26.73046875" bestFit="1" customWidth="1"/>
    <col min="3" max="3" width="15.59765625" bestFit="1" customWidth="1"/>
    <col min="4" max="4" width="18.73046875" bestFit="1" customWidth="1"/>
    <col min="5" max="5" width="30.265625" bestFit="1" customWidth="1"/>
    <col min="6" max="7" width="18.1328125" bestFit="1" customWidth="1"/>
    <col min="8" max="8" width="7.59765625" bestFit="1" customWidth="1"/>
    <col min="9" max="9" width="16.3984375" bestFit="1" customWidth="1"/>
    <col min="10" max="10" width="13.73046875" bestFit="1" customWidth="1"/>
    <col min="11" max="12" width="12.3984375" bestFit="1" customWidth="1"/>
    <col min="13" max="14" width="15.1328125" bestFit="1" customWidth="1"/>
    <col min="15" max="15" width="14" bestFit="1" customWidth="1"/>
    <col min="16" max="16" width="20.73046875" bestFit="1" customWidth="1"/>
    <col min="17" max="17" width="19.3984375" bestFit="1" customWidth="1"/>
    <col min="18" max="18" width="10.86328125" bestFit="1" customWidth="1"/>
  </cols>
  <sheetData>
    <row r="1" spans="1:18" x14ac:dyDescent="0.45">
      <c r="A1" t="s">
        <v>0</v>
      </c>
      <c r="B1" t="s">
        <v>2036</v>
      </c>
      <c r="C1" t="s">
        <v>2037</v>
      </c>
      <c r="D1" t="s">
        <v>2038</v>
      </c>
      <c r="E1" t="s">
        <v>3</v>
      </c>
      <c r="F1" t="s">
        <v>2</v>
      </c>
      <c r="G1" t="s">
        <v>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45">
      <c r="A2" t="s">
        <v>712</v>
      </c>
      <c r="B2" t="s">
        <v>2039</v>
      </c>
      <c r="C2" t="s">
        <v>2050</v>
      </c>
      <c r="D2" s="5" t="s">
        <v>2041</v>
      </c>
      <c r="E2" t="s">
        <v>43</v>
      </c>
      <c r="F2" t="s">
        <v>719</v>
      </c>
      <c r="G2" t="s">
        <v>22</v>
      </c>
      <c r="H2" s="4" t="s">
        <v>25</v>
      </c>
      <c r="I2" s="5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5" t="s">
        <v>31</v>
      </c>
      <c r="O2" s="5" t="s">
        <v>32</v>
      </c>
      <c r="P2" s="5" t="s">
        <v>32</v>
      </c>
      <c r="Q2" s="5" t="s">
        <v>32</v>
      </c>
      <c r="R2" t="s">
        <v>33</v>
      </c>
    </row>
    <row r="3" spans="1:18" x14ac:dyDescent="0.45">
      <c r="A3" t="s">
        <v>712</v>
      </c>
      <c r="B3" t="s">
        <v>2039</v>
      </c>
      <c r="C3" t="s">
        <v>2050</v>
      </c>
      <c r="D3" s="5" t="s">
        <v>2041</v>
      </c>
      <c r="E3" t="s">
        <v>38</v>
      </c>
      <c r="F3" t="s">
        <v>716</v>
      </c>
      <c r="G3" t="s">
        <v>22</v>
      </c>
      <c r="H3" s="4" t="s">
        <v>25</v>
      </c>
      <c r="I3" s="5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5" t="s">
        <v>31</v>
      </c>
      <c r="O3" s="5" t="s">
        <v>32</v>
      </c>
      <c r="P3" s="5" t="s">
        <v>32</v>
      </c>
      <c r="Q3" s="5" t="s">
        <v>32</v>
      </c>
      <c r="R3" t="s">
        <v>33</v>
      </c>
    </row>
    <row r="4" spans="1:18" x14ac:dyDescent="0.45">
      <c r="A4" t="s">
        <v>712</v>
      </c>
      <c r="B4" t="s">
        <v>2039</v>
      </c>
      <c r="C4" t="s">
        <v>2050</v>
      </c>
      <c r="D4" s="5" t="s">
        <v>2041</v>
      </c>
      <c r="E4" t="s">
        <v>771</v>
      </c>
      <c r="F4" t="s">
        <v>770</v>
      </c>
      <c r="G4" t="s">
        <v>22</v>
      </c>
      <c r="H4" s="4" t="s">
        <v>233</v>
      </c>
      <c r="I4" s="5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5" t="s">
        <v>31</v>
      </c>
      <c r="O4" s="5" t="s">
        <v>32</v>
      </c>
      <c r="P4" s="5" t="s">
        <v>32</v>
      </c>
      <c r="Q4" s="5" t="s">
        <v>32</v>
      </c>
      <c r="R4" t="s">
        <v>33</v>
      </c>
    </row>
    <row r="5" spans="1:18" x14ac:dyDescent="0.45">
      <c r="A5" t="s">
        <v>712</v>
      </c>
      <c r="B5" t="s">
        <v>2039</v>
      </c>
      <c r="C5" t="s">
        <v>2050</v>
      </c>
      <c r="D5" s="5" t="s">
        <v>2041</v>
      </c>
      <c r="E5" t="s">
        <v>771</v>
      </c>
      <c r="F5" t="s">
        <v>770</v>
      </c>
      <c r="G5" t="s">
        <v>22</v>
      </c>
      <c r="H5" s="4" t="s">
        <v>233</v>
      </c>
      <c r="I5" s="5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5" t="s">
        <v>31</v>
      </c>
      <c r="O5" s="5" t="s">
        <v>32</v>
      </c>
      <c r="P5" s="5" t="s">
        <v>32</v>
      </c>
      <c r="Q5" s="5" t="s">
        <v>32</v>
      </c>
      <c r="R5" t="s">
        <v>33</v>
      </c>
    </row>
    <row r="6" spans="1:18" x14ac:dyDescent="0.45">
      <c r="A6" t="s">
        <v>712</v>
      </c>
      <c r="B6" t="s">
        <v>2039</v>
      </c>
      <c r="C6" t="s">
        <v>2050</v>
      </c>
      <c r="D6" s="5" t="s">
        <v>2041</v>
      </c>
      <c r="E6" t="s">
        <v>955</v>
      </c>
      <c r="F6" t="s">
        <v>954</v>
      </c>
      <c r="G6" t="s">
        <v>661</v>
      </c>
      <c r="H6" s="4" t="s">
        <v>25</v>
      </c>
      <c r="I6" s="5" t="s">
        <v>26</v>
      </c>
      <c r="J6" s="4" t="s">
        <v>663</v>
      </c>
      <c r="K6" s="4" t="s">
        <v>28</v>
      </c>
      <c r="L6" s="4">
        <v>19.05</v>
      </c>
      <c r="M6" s="4" t="s">
        <v>30</v>
      </c>
      <c r="N6" s="5" t="s">
        <v>665</v>
      </c>
      <c r="O6" s="5" t="s">
        <v>64</v>
      </c>
      <c r="P6" s="5" t="s">
        <v>960</v>
      </c>
      <c r="Q6" s="5" t="s">
        <v>32</v>
      </c>
      <c r="R6" t="s">
        <v>33</v>
      </c>
    </row>
    <row r="7" spans="1:18" x14ac:dyDescent="0.45">
      <c r="A7" t="s">
        <v>712</v>
      </c>
      <c r="B7" t="s">
        <v>2039</v>
      </c>
      <c r="C7" t="s">
        <v>2050</v>
      </c>
      <c r="D7" s="5" t="s">
        <v>2041</v>
      </c>
      <c r="E7" t="s">
        <v>946</v>
      </c>
      <c r="F7" t="s">
        <v>947</v>
      </c>
      <c r="G7" t="s">
        <v>946</v>
      </c>
      <c r="H7" s="4" t="s">
        <v>76</v>
      </c>
      <c r="I7" s="5" t="s">
        <v>26</v>
      </c>
      <c r="J7" s="4" t="s">
        <v>27</v>
      </c>
      <c r="K7" s="4" t="s">
        <v>28</v>
      </c>
      <c r="L7" s="4" t="s">
        <v>32</v>
      </c>
      <c r="M7" s="4" t="s">
        <v>30</v>
      </c>
      <c r="N7" s="5" t="s">
        <v>665</v>
      </c>
      <c r="O7" s="5" t="s">
        <v>32</v>
      </c>
      <c r="P7" s="5" t="s">
        <v>32</v>
      </c>
      <c r="Q7" s="5" t="s">
        <v>32</v>
      </c>
      <c r="R7" t="s">
        <v>32</v>
      </c>
    </row>
    <row r="8" spans="1:18" x14ac:dyDescent="0.45">
      <c r="A8" t="s">
        <v>712</v>
      </c>
      <c r="B8" t="s">
        <v>2039</v>
      </c>
      <c r="C8" t="s">
        <v>2050</v>
      </c>
      <c r="D8" s="5" t="s">
        <v>2041</v>
      </c>
      <c r="E8" t="s">
        <v>778</v>
      </c>
      <c r="F8" t="s">
        <v>777</v>
      </c>
      <c r="G8" t="s">
        <v>22</v>
      </c>
      <c r="H8" s="4" t="s">
        <v>25</v>
      </c>
      <c r="I8" s="5" t="s">
        <v>26</v>
      </c>
      <c r="J8" s="4" t="s">
        <v>27</v>
      </c>
      <c r="K8" s="4" t="s">
        <v>28</v>
      </c>
      <c r="L8" s="4" t="s">
        <v>29</v>
      </c>
      <c r="M8" s="4" t="s">
        <v>30</v>
      </c>
      <c r="N8" s="5" t="s">
        <v>31</v>
      </c>
      <c r="O8" s="5" t="s">
        <v>32</v>
      </c>
      <c r="P8" s="5" t="s">
        <v>32</v>
      </c>
      <c r="Q8" s="5" t="s">
        <v>32</v>
      </c>
      <c r="R8" t="s">
        <v>33</v>
      </c>
    </row>
    <row r="9" spans="1:18" x14ac:dyDescent="0.45">
      <c r="A9" t="s">
        <v>712</v>
      </c>
      <c r="B9" t="s">
        <v>2039</v>
      </c>
      <c r="C9" t="s">
        <v>2050</v>
      </c>
      <c r="D9" s="5" t="s">
        <v>2041</v>
      </c>
      <c r="E9" t="s">
        <v>969</v>
      </c>
      <c r="F9" t="s">
        <v>968</v>
      </c>
      <c r="G9" t="s">
        <v>672</v>
      </c>
      <c r="H9" s="4" t="s">
        <v>326</v>
      </c>
      <c r="I9" s="5" t="s">
        <v>26</v>
      </c>
      <c r="J9" s="4" t="s">
        <v>2013</v>
      </c>
      <c r="K9" s="4" t="s">
        <v>32</v>
      </c>
      <c r="L9" s="4" t="s">
        <v>2045</v>
      </c>
      <c r="M9" s="4" t="s">
        <v>30</v>
      </c>
      <c r="N9" s="5" t="s">
        <v>1922</v>
      </c>
      <c r="O9" s="5" t="s">
        <v>32</v>
      </c>
      <c r="P9" s="5" t="s">
        <v>32</v>
      </c>
      <c r="Q9" s="5" t="s">
        <v>32</v>
      </c>
      <c r="R9" t="s">
        <v>32</v>
      </c>
    </row>
    <row r="10" spans="1:18" x14ac:dyDescent="0.45">
      <c r="A10" t="s">
        <v>712</v>
      </c>
      <c r="B10" t="s">
        <v>2039</v>
      </c>
      <c r="C10" t="s">
        <v>2050</v>
      </c>
      <c r="D10" s="5" t="s">
        <v>2041</v>
      </c>
      <c r="E10" t="s">
        <v>951</v>
      </c>
      <c r="F10" t="s">
        <v>950</v>
      </c>
      <c r="G10" t="s">
        <v>59</v>
      </c>
      <c r="H10" s="4" t="s">
        <v>326</v>
      </c>
      <c r="I10" s="5" t="s">
        <v>26</v>
      </c>
      <c r="J10" s="4" t="s">
        <v>2013</v>
      </c>
      <c r="K10" s="4" t="s">
        <v>32</v>
      </c>
      <c r="L10" s="4" t="s">
        <v>2046</v>
      </c>
      <c r="M10" s="4" t="s">
        <v>63</v>
      </c>
      <c r="N10" s="5" t="s">
        <v>64</v>
      </c>
      <c r="O10" s="5" t="s">
        <v>32</v>
      </c>
      <c r="P10" s="5" t="s">
        <v>65</v>
      </c>
      <c r="Q10" s="5" t="s">
        <v>961</v>
      </c>
      <c r="R10" t="s">
        <v>32</v>
      </c>
    </row>
    <row r="11" spans="1:18" x14ac:dyDescent="0.45">
      <c r="A11" t="s">
        <v>712</v>
      </c>
      <c r="B11" t="s">
        <v>2039</v>
      </c>
      <c r="C11" t="s">
        <v>2050</v>
      </c>
      <c r="D11" s="5" t="s">
        <v>2041</v>
      </c>
      <c r="E11" t="s">
        <v>642</v>
      </c>
      <c r="F11" t="s">
        <v>914</v>
      </c>
      <c r="G11" t="s">
        <v>309</v>
      </c>
      <c r="H11" s="4" t="s">
        <v>85</v>
      </c>
      <c r="I11" s="5" t="s">
        <v>26</v>
      </c>
      <c r="J11" s="4" t="s">
        <v>2013</v>
      </c>
      <c r="K11" s="4" t="s">
        <v>32</v>
      </c>
      <c r="L11" s="4" t="s">
        <v>2047</v>
      </c>
      <c r="M11" s="4" t="s">
        <v>30</v>
      </c>
      <c r="N11" s="5" t="s">
        <v>331</v>
      </c>
      <c r="O11" s="5" t="s">
        <v>32</v>
      </c>
      <c r="P11" s="5" t="s">
        <v>32</v>
      </c>
      <c r="Q11" s="5" t="s">
        <v>32</v>
      </c>
      <c r="R11" t="s">
        <v>32</v>
      </c>
    </row>
    <row r="12" spans="1:18" x14ac:dyDescent="0.45">
      <c r="A12" t="s">
        <v>712</v>
      </c>
      <c r="B12" t="s">
        <v>2039</v>
      </c>
      <c r="C12" t="s">
        <v>2050</v>
      </c>
      <c r="D12" s="5" t="s">
        <v>2041</v>
      </c>
      <c r="E12" t="s">
        <v>911</v>
      </c>
      <c r="F12" t="s">
        <v>910</v>
      </c>
      <c r="G12" t="s">
        <v>309</v>
      </c>
      <c r="H12" s="4" t="s">
        <v>85</v>
      </c>
      <c r="I12" s="5" t="s">
        <v>26</v>
      </c>
      <c r="J12" s="4" t="s">
        <v>2013</v>
      </c>
      <c r="K12" s="4" t="s">
        <v>32</v>
      </c>
      <c r="L12" s="4" t="s">
        <v>2047</v>
      </c>
      <c r="M12" s="4" t="s">
        <v>30</v>
      </c>
      <c r="N12" s="5" t="s">
        <v>331</v>
      </c>
      <c r="O12" s="5" t="s">
        <v>32</v>
      </c>
      <c r="P12" s="5" t="s">
        <v>32</v>
      </c>
      <c r="Q12" s="5" t="s">
        <v>32</v>
      </c>
      <c r="R12" t="s">
        <v>32</v>
      </c>
    </row>
    <row r="13" spans="1:18" x14ac:dyDescent="0.45">
      <c r="A13" t="s">
        <v>712</v>
      </c>
      <c r="B13" t="s">
        <v>2039</v>
      </c>
      <c r="C13" t="s">
        <v>2050</v>
      </c>
      <c r="D13" s="5" t="s">
        <v>2041</v>
      </c>
      <c r="E13" t="s">
        <v>47</v>
      </c>
      <c r="F13" t="s">
        <v>730</v>
      </c>
      <c r="G13" t="s">
        <v>22</v>
      </c>
      <c r="H13" s="4" t="s">
        <v>25</v>
      </c>
      <c r="I13" s="5" t="s">
        <v>26</v>
      </c>
      <c r="J13" s="4" t="s">
        <v>27</v>
      </c>
      <c r="K13" s="4" t="s">
        <v>28</v>
      </c>
      <c r="L13" s="4" t="s">
        <v>29</v>
      </c>
      <c r="M13" s="4" t="s">
        <v>30</v>
      </c>
      <c r="N13" s="5" t="s">
        <v>31</v>
      </c>
      <c r="O13" s="5" t="s">
        <v>32</v>
      </c>
      <c r="P13" s="5" t="s">
        <v>32</v>
      </c>
      <c r="Q13" s="5" t="s">
        <v>32</v>
      </c>
      <c r="R13" t="s">
        <v>33</v>
      </c>
    </row>
    <row r="14" spans="1:18" x14ac:dyDescent="0.45">
      <c r="A14" t="s">
        <v>712</v>
      </c>
      <c r="B14" t="s">
        <v>2039</v>
      </c>
      <c r="C14" t="s">
        <v>2050</v>
      </c>
      <c r="D14" s="5" t="s">
        <v>2041</v>
      </c>
      <c r="E14" t="s">
        <v>727</v>
      </c>
      <c r="F14" t="s">
        <v>850</v>
      </c>
      <c r="G14" t="s">
        <v>213</v>
      </c>
      <c r="H14" s="4" t="s">
        <v>76</v>
      </c>
      <c r="I14" s="5" t="s">
        <v>188</v>
      </c>
      <c r="J14" s="4" t="s">
        <v>189</v>
      </c>
      <c r="K14" s="4" t="s">
        <v>287</v>
      </c>
      <c r="L14" s="4" t="s">
        <v>2042</v>
      </c>
      <c r="M14" s="4" t="s">
        <v>30</v>
      </c>
      <c r="N14" s="5" t="s">
        <v>31</v>
      </c>
      <c r="O14" s="5" t="s">
        <v>32</v>
      </c>
      <c r="P14" s="5" t="s">
        <v>32</v>
      </c>
      <c r="Q14" s="5" t="s">
        <v>32</v>
      </c>
      <c r="R14" t="s">
        <v>33</v>
      </c>
    </row>
    <row r="15" spans="1:18" x14ac:dyDescent="0.45">
      <c r="A15" t="s">
        <v>712</v>
      </c>
      <c r="B15" t="s">
        <v>2039</v>
      </c>
      <c r="C15" t="s">
        <v>2050</v>
      </c>
      <c r="D15" s="5" t="s">
        <v>2041</v>
      </c>
      <c r="E15" t="s">
        <v>300</v>
      </c>
      <c r="F15" t="s">
        <v>895</v>
      </c>
      <c r="G15" t="s">
        <v>298</v>
      </c>
      <c r="H15" s="4" t="s">
        <v>85</v>
      </c>
      <c r="I15" s="5" t="s">
        <v>32</v>
      </c>
      <c r="J15" s="4" t="s">
        <v>32</v>
      </c>
      <c r="K15" s="4" t="s">
        <v>32</v>
      </c>
      <c r="L15" s="4" t="s">
        <v>32</v>
      </c>
      <c r="M15" s="4" t="s">
        <v>30</v>
      </c>
      <c r="N15" s="5" t="s">
        <v>302</v>
      </c>
      <c r="O15" s="5" t="s">
        <v>32</v>
      </c>
      <c r="P15" s="5" t="s">
        <v>32</v>
      </c>
      <c r="Q15" s="5" t="s">
        <v>32</v>
      </c>
      <c r="R15" t="s">
        <v>32</v>
      </c>
    </row>
    <row r="16" spans="1:18" x14ac:dyDescent="0.45">
      <c r="A16" t="s">
        <v>712</v>
      </c>
      <c r="B16" t="s">
        <v>2039</v>
      </c>
      <c r="C16" t="s">
        <v>2050</v>
      </c>
      <c r="D16" s="5" t="s">
        <v>2041</v>
      </c>
      <c r="E16" t="s">
        <v>311</v>
      </c>
      <c r="F16" t="s">
        <v>922</v>
      </c>
      <c r="G16" t="s">
        <v>309</v>
      </c>
      <c r="H16" s="4" t="s">
        <v>233</v>
      </c>
      <c r="I16" s="5" t="s">
        <v>188</v>
      </c>
      <c r="J16" s="4" t="s">
        <v>312</v>
      </c>
      <c r="K16" s="4" t="s">
        <v>2043</v>
      </c>
      <c r="L16" s="4" t="s">
        <v>2044</v>
      </c>
      <c r="M16" s="4" t="s">
        <v>30</v>
      </c>
      <c r="N16" s="5" t="s">
        <v>331</v>
      </c>
      <c r="O16" s="5" t="s">
        <v>32</v>
      </c>
      <c r="P16" s="5" t="s">
        <v>32</v>
      </c>
      <c r="Q16" s="5" t="s">
        <v>32</v>
      </c>
      <c r="R16" t="s">
        <v>32</v>
      </c>
    </row>
    <row r="17" spans="1:18" x14ac:dyDescent="0.45">
      <c r="A17" t="s">
        <v>712</v>
      </c>
      <c r="B17" t="s">
        <v>2039</v>
      </c>
      <c r="C17" t="s">
        <v>2050</v>
      </c>
      <c r="D17" s="5" t="s">
        <v>2041</v>
      </c>
      <c r="E17" t="s">
        <v>836</v>
      </c>
      <c r="F17" t="s">
        <v>835</v>
      </c>
      <c r="G17" t="s">
        <v>22</v>
      </c>
      <c r="H17" s="4" t="s">
        <v>71</v>
      </c>
      <c r="I17" s="5" t="s">
        <v>26</v>
      </c>
      <c r="J17" s="4" t="s">
        <v>27</v>
      </c>
      <c r="K17" s="4" t="s">
        <v>28</v>
      </c>
      <c r="L17" s="4" t="s">
        <v>29</v>
      </c>
      <c r="M17" s="4" t="s">
        <v>30</v>
      </c>
      <c r="N17" s="5" t="s">
        <v>31</v>
      </c>
      <c r="O17" s="5" t="s">
        <v>32</v>
      </c>
      <c r="P17" s="5" t="s">
        <v>32</v>
      </c>
      <c r="Q17" s="5" t="s">
        <v>32</v>
      </c>
      <c r="R17" t="s">
        <v>33</v>
      </c>
    </row>
    <row r="18" spans="1:18" x14ac:dyDescent="0.45">
      <c r="A18" t="s">
        <v>712</v>
      </c>
      <c r="B18" t="s">
        <v>2039</v>
      </c>
      <c r="C18" t="s">
        <v>2050</v>
      </c>
      <c r="D18" s="5" t="s">
        <v>2041</v>
      </c>
      <c r="E18" t="s">
        <v>80</v>
      </c>
      <c r="F18" t="s">
        <v>748</v>
      </c>
      <c r="G18" t="s">
        <v>22</v>
      </c>
      <c r="H18" s="4" t="s">
        <v>71</v>
      </c>
      <c r="I18" s="5" t="s">
        <v>188</v>
      </c>
      <c r="J18" s="4" t="s">
        <v>189</v>
      </c>
      <c r="K18" s="4" t="s">
        <v>190</v>
      </c>
      <c r="L18" s="4" t="s">
        <v>29</v>
      </c>
      <c r="M18" s="4" t="s">
        <v>30</v>
      </c>
      <c r="N18" s="5" t="s">
        <v>31</v>
      </c>
      <c r="O18" s="5" t="s">
        <v>32</v>
      </c>
      <c r="P18" s="5" t="s">
        <v>32</v>
      </c>
      <c r="Q18" s="5" t="s">
        <v>32</v>
      </c>
      <c r="R18" t="s">
        <v>33</v>
      </c>
    </row>
    <row r="19" spans="1:18" x14ac:dyDescent="0.45">
      <c r="A19" t="s">
        <v>712</v>
      </c>
      <c r="B19" t="s">
        <v>2039</v>
      </c>
      <c r="C19" t="s">
        <v>2050</v>
      </c>
      <c r="D19" s="5" t="s">
        <v>2041</v>
      </c>
      <c r="E19" t="s">
        <v>75</v>
      </c>
      <c r="F19" t="s">
        <v>745</v>
      </c>
      <c r="G19" t="s">
        <v>22</v>
      </c>
      <c r="H19" s="4" t="s">
        <v>76</v>
      </c>
      <c r="I19" s="5" t="s">
        <v>188</v>
      </c>
      <c r="J19" s="4" t="s">
        <v>189</v>
      </c>
      <c r="K19" s="4" t="s">
        <v>190</v>
      </c>
      <c r="L19" s="4" t="s">
        <v>29</v>
      </c>
      <c r="M19" s="4" t="s">
        <v>30</v>
      </c>
      <c r="N19" s="5" t="s">
        <v>31</v>
      </c>
      <c r="O19" s="5" t="s">
        <v>32</v>
      </c>
      <c r="P19" s="5" t="s">
        <v>32</v>
      </c>
      <c r="Q19" s="5" t="s">
        <v>32</v>
      </c>
      <c r="R19" t="s">
        <v>33</v>
      </c>
    </row>
    <row r="20" spans="1:18" x14ac:dyDescent="0.45">
      <c r="A20" t="s">
        <v>712</v>
      </c>
      <c r="B20" t="s">
        <v>2039</v>
      </c>
      <c r="C20" t="s">
        <v>2050</v>
      </c>
      <c r="D20" s="5" t="s">
        <v>2041</v>
      </c>
      <c r="E20" t="s">
        <v>372</v>
      </c>
      <c r="F20" t="s">
        <v>975</v>
      </c>
      <c r="G20" t="s">
        <v>372</v>
      </c>
      <c r="H20" s="4" t="s">
        <v>56</v>
      </c>
      <c r="I20" s="5" t="s">
        <v>188</v>
      </c>
      <c r="J20" s="4" t="s">
        <v>189</v>
      </c>
      <c r="K20" s="4" t="s">
        <v>190</v>
      </c>
      <c r="L20" s="4" t="s">
        <v>374</v>
      </c>
      <c r="M20" s="4" t="s">
        <v>30</v>
      </c>
      <c r="N20" s="5" t="s">
        <v>32</v>
      </c>
      <c r="O20" s="5" t="s">
        <v>32</v>
      </c>
      <c r="P20" s="5" t="s">
        <v>32</v>
      </c>
      <c r="Q20" s="5" t="s">
        <v>32</v>
      </c>
      <c r="R20" t="s">
        <v>32</v>
      </c>
    </row>
    <row r="21" spans="1:18" x14ac:dyDescent="0.45">
      <c r="A21" t="s">
        <v>712</v>
      </c>
      <c r="B21" t="s">
        <v>2039</v>
      </c>
      <c r="C21" t="s">
        <v>2050</v>
      </c>
      <c r="D21" s="5" t="s">
        <v>2041</v>
      </c>
      <c r="E21" t="s">
        <v>84</v>
      </c>
      <c r="F21" t="s">
        <v>751</v>
      </c>
      <c r="G21" t="s">
        <v>22</v>
      </c>
      <c r="H21" s="4" t="s">
        <v>85</v>
      </c>
      <c r="I21" s="5" t="s">
        <v>26</v>
      </c>
      <c r="J21" s="4" t="s">
        <v>27</v>
      </c>
      <c r="K21" s="4" t="s">
        <v>28</v>
      </c>
      <c r="L21" s="4" t="s">
        <v>29</v>
      </c>
      <c r="M21" s="4" t="s">
        <v>30</v>
      </c>
      <c r="N21" s="5" t="s">
        <v>31</v>
      </c>
      <c r="O21" s="5" t="s">
        <v>32</v>
      </c>
      <c r="P21" s="5" t="s">
        <v>32</v>
      </c>
      <c r="Q21" s="5" t="s">
        <v>32</v>
      </c>
      <c r="R21" t="s">
        <v>33</v>
      </c>
    </row>
    <row r="22" spans="1:18" x14ac:dyDescent="0.45">
      <c r="A22" t="s">
        <v>712</v>
      </c>
      <c r="B22" t="s">
        <v>2039</v>
      </c>
      <c r="C22" t="s">
        <v>2050</v>
      </c>
      <c r="D22" s="5" t="s">
        <v>2041</v>
      </c>
      <c r="E22" t="s">
        <v>142</v>
      </c>
      <c r="F22" t="s">
        <v>789</v>
      </c>
      <c r="G22" t="s">
        <v>22</v>
      </c>
      <c r="H22" s="4" t="s">
        <v>25</v>
      </c>
      <c r="I22" s="5" t="s">
        <v>26</v>
      </c>
      <c r="J22" s="4" t="s">
        <v>27</v>
      </c>
      <c r="K22" s="4" t="s">
        <v>28</v>
      </c>
      <c r="L22" s="4" t="s">
        <v>29</v>
      </c>
      <c r="M22" s="4" t="s">
        <v>30</v>
      </c>
      <c r="N22" s="5" t="s">
        <v>31</v>
      </c>
      <c r="O22" s="5" t="s">
        <v>32</v>
      </c>
      <c r="P22" s="5" t="s">
        <v>32</v>
      </c>
      <c r="Q22" s="5" t="s">
        <v>32</v>
      </c>
      <c r="R22" t="s">
        <v>33</v>
      </c>
    </row>
    <row r="23" spans="1:18" x14ac:dyDescent="0.45">
      <c r="A23" t="s">
        <v>712</v>
      </c>
      <c r="B23" t="s">
        <v>2039</v>
      </c>
      <c r="C23" t="s">
        <v>2050</v>
      </c>
      <c r="D23" s="5" t="s">
        <v>2041</v>
      </c>
      <c r="E23" t="s">
        <v>93</v>
      </c>
      <c r="F23" t="s">
        <v>435</v>
      </c>
      <c r="G23" t="s">
        <v>22</v>
      </c>
      <c r="H23" s="4" t="s">
        <v>71</v>
      </c>
      <c r="I23" s="5" t="s">
        <v>26</v>
      </c>
      <c r="J23" s="4" t="s">
        <v>27</v>
      </c>
      <c r="K23" s="4" t="s">
        <v>28</v>
      </c>
      <c r="L23" s="4" t="s">
        <v>29</v>
      </c>
      <c r="M23" s="4" t="s">
        <v>30</v>
      </c>
      <c r="N23" s="5" t="s">
        <v>31</v>
      </c>
      <c r="O23" s="5" t="s">
        <v>32</v>
      </c>
      <c r="P23" s="5" t="s">
        <v>32</v>
      </c>
      <c r="Q23" s="5" t="s">
        <v>32</v>
      </c>
      <c r="R23" t="s">
        <v>33</v>
      </c>
    </row>
    <row r="24" spans="1:18" x14ac:dyDescent="0.45">
      <c r="A24" t="s">
        <v>712</v>
      </c>
      <c r="B24" t="s">
        <v>2039</v>
      </c>
      <c r="C24" t="s">
        <v>2050</v>
      </c>
      <c r="D24" s="5" t="s">
        <v>2041</v>
      </c>
      <c r="E24" t="s">
        <v>321</v>
      </c>
      <c r="F24" t="s">
        <v>928</v>
      </c>
      <c r="G24" t="s">
        <v>309</v>
      </c>
      <c r="H24" s="4" t="s">
        <v>187</v>
      </c>
      <c r="I24" s="5" t="s">
        <v>188</v>
      </c>
      <c r="J24" s="4" t="s">
        <v>312</v>
      </c>
      <c r="K24" s="4" t="s">
        <v>2043</v>
      </c>
      <c r="L24" s="4" t="s">
        <v>2049</v>
      </c>
      <c r="M24" s="4" t="s">
        <v>30</v>
      </c>
      <c r="N24" s="5" t="s">
        <v>331</v>
      </c>
      <c r="O24" s="5" t="s">
        <v>32</v>
      </c>
      <c r="P24" s="5" t="s">
        <v>32</v>
      </c>
      <c r="Q24" s="5" t="s">
        <v>32</v>
      </c>
      <c r="R24" t="s">
        <v>32</v>
      </c>
    </row>
    <row r="25" spans="1:18" x14ac:dyDescent="0.45">
      <c r="A25" t="s">
        <v>712</v>
      </c>
      <c r="B25" t="s">
        <v>2039</v>
      </c>
      <c r="C25" t="s">
        <v>2050</v>
      </c>
      <c r="D25" s="5" t="s">
        <v>2041</v>
      </c>
      <c r="E25" t="s">
        <v>2051</v>
      </c>
      <c r="H25" s="4"/>
      <c r="I25" s="5"/>
      <c r="J25" s="4"/>
      <c r="K25" s="4"/>
      <c r="L25" s="4"/>
      <c r="M25" s="4"/>
      <c r="N25" s="5"/>
      <c r="O25" s="5"/>
      <c r="P25" s="5"/>
      <c r="Q25" s="5"/>
    </row>
    <row r="26" spans="1:18" x14ac:dyDescent="0.45">
      <c r="A26" t="s">
        <v>712</v>
      </c>
      <c r="B26" t="s">
        <v>2039</v>
      </c>
      <c r="C26" t="s">
        <v>2050</v>
      </c>
      <c r="D26" s="5" t="s">
        <v>2041</v>
      </c>
      <c r="E26" t="s">
        <v>2052</v>
      </c>
      <c r="H26" s="4"/>
      <c r="I26" s="5"/>
      <c r="J26" s="4"/>
      <c r="K26" s="4"/>
      <c r="L26" s="4"/>
      <c r="M26" s="4"/>
      <c r="N26" s="5"/>
      <c r="O26" s="5"/>
      <c r="P26" s="5"/>
      <c r="Q26" s="5"/>
    </row>
    <row r="27" spans="1:18" x14ac:dyDescent="0.45">
      <c r="A27" t="s">
        <v>712</v>
      </c>
      <c r="B27" t="s">
        <v>2039</v>
      </c>
      <c r="C27" t="s">
        <v>2050</v>
      </c>
      <c r="D27" s="5" t="s">
        <v>2041</v>
      </c>
      <c r="E27" t="s">
        <v>2053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6"/>
  <sheetViews>
    <sheetView workbookViewId="0">
      <selection activeCell="O28" sqref="O28"/>
    </sheetView>
  </sheetViews>
  <sheetFormatPr defaultRowHeight="14.25" x14ac:dyDescent="0.45"/>
  <cols>
    <col min="1" max="1" width="20.1328125" bestFit="1" customWidth="1"/>
    <col min="2" max="2" width="26.73046875" bestFit="1" customWidth="1"/>
    <col min="3" max="3" width="27.59765625" bestFit="1" customWidth="1"/>
    <col min="4" max="4" width="18.73046875" bestFit="1" customWidth="1"/>
    <col min="5" max="5" width="30.265625" bestFit="1" customWidth="1"/>
    <col min="6" max="6" width="13.1328125" customWidth="1"/>
    <col min="7" max="7" width="18.1328125" bestFit="1" customWidth="1"/>
    <col min="8" max="8" width="7.59765625" bestFit="1" customWidth="1"/>
    <col min="9" max="9" width="16.3984375" bestFit="1" customWidth="1"/>
    <col min="10" max="10" width="13.73046875" bestFit="1" customWidth="1"/>
    <col min="11" max="11" width="11" bestFit="1" customWidth="1"/>
    <col min="12" max="12" width="12.3984375" bestFit="1" customWidth="1"/>
    <col min="13" max="13" width="9.265625" bestFit="1" customWidth="1"/>
    <col min="14" max="14" width="15.1328125" bestFit="1" customWidth="1"/>
    <col min="15" max="15" width="12.86328125" bestFit="1" customWidth="1"/>
    <col min="16" max="16" width="20.73046875" bestFit="1" customWidth="1"/>
    <col min="17" max="17" width="19.3984375" bestFit="1" customWidth="1"/>
    <col min="18" max="18" width="10.86328125" bestFit="1" customWidth="1"/>
  </cols>
  <sheetData>
    <row r="1" spans="1:18" x14ac:dyDescent="0.45">
      <c r="A1" t="s">
        <v>0</v>
      </c>
      <c r="B1" t="s">
        <v>2036</v>
      </c>
      <c r="C1" t="s">
        <v>2037</v>
      </c>
      <c r="D1" t="s">
        <v>2038</v>
      </c>
      <c r="E1" t="s">
        <v>3</v>
      </c>
      <c r="F1" t="s">
        <v>2</v>
      </c>
      <c r="G1" t="s">
        <v>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45">
      <c r="A2" t="s">
        <v>712</v>
      </c>
      <c r="B2" t="s">
        <v>2039</v>
      </c>
      <c r="C2" t="s">
        <v>2054</v>
      </c>
      <c r="D2" t="s">
        <v>2055</v>
      </c>
      <c r="E2" t="s">
        <v>43</v>
      </c>
      <c r="F2" t="s">
        <v>719</v>
      </c>
      <c r="G2" t="s">
        <v>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33</v>
      </c>
    </row>
    <row r="3" spans="1:18" x14ac:dyDescent="0.45">
      <c r="A3" t="s">
        <v>712</v>
      </c>
      <c r="B3" t="s">
        <v>2039</v>
      </c>
      <c r="C3" t="s">
        <v>2054</v>
      </c>
      <c r="D3" t="s">
        <v>2055</v>
      </c>
      <c r="E3" t="s">
        <v>602</v>
      </c>
      <c r="F3" t="s">
        <v>889</v>
      </c>
      <c r="G3" t="s">
        <v>22</v>
      </c>
      <c r="H3" t="s">
        <v>85</v>
      </c>
      <c r="I3" t="s">
        <v>188</v>
      </c>
      <c r="J3" t="s">
        <v>189</v>
      </c>
      <c r="K3" t="s">
        <v>287</v>
      </c>
      <c r="L3" t="s">
        <v>32</v>
      </c>
      <c r="M3" t="s">
        <v>30</v>
      </c>
      <c r="N3" t="s">
        <v>31</v>
      </c>
      <c r="O3" t="s">
        <v>32</v>
      </c>
      <c r="P3" t="s">
        <v>32</v>
      </c>
      <c r="Q3" t="s">
        <v>32</v>
      </c>
      <c r="R3" t="s">
        <v>33</v>
      </c>
    </row>
    <row r="4" spans="1:18" x14ac:dyDescent="0.45">
      <c r="A4" t="s">
        <v>712</v>
      </c>
      <c r="B4" t="s">
        <v>2039</v>
      </c>
      <c r="C4" t="s">
        <v>2054</v>
      </c>
      <c r="D4" t="s">
        <v>2055</v>
      </c>
      <c r="E4" t="s">
        <v>771</v>
      </c>
      <c r="F4" t="s">
        <v>770</v>
      </c>
      <c r="G4" t="s">
        <v>22</v>
      </c>
      <c r="H4" t="s">
        <v>233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32</v>
      </c>
      <c r="Q4" t="s">
        <v>32</v>
      </c>
      <c r="R4" t="s">
        <v>33</v>
      </c>
    </row>
    <row r="5" spans="1:18" x14ac:dyDescent="0.45">
      <c r="A5" t="s">
        <v>712</v>
      </c>
      <c r="B5" t="s">
        <v>2039</v>
      </c>
      <c r="C5" t="s">
        <v>2054</v>
      </c>
      <c r="D5" t="s">
        <v>2055</v>
      </c>
      <c r="E5" t="s">
        <v>771</v>
      </c>
      <c r="F5" t="s">
        <v>770</v>
      </c>
      <c r="G5" t="s">
        <v>22</v>
      </c>
      <c r="H5" t="s">
        <v>233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33</v>
      </c>
    </row>
    <row r="6" spans="1:18" x14ac:dyDescent="0.45">
      <c r="A6" t="s">
        <v>712</v>
      </c>
      <c r="B6" t="s">
        <v>2039</v>
      </c>
      <c r="C6" t="s">
        <v>2054</v>
      </c>
      <c r="D6" t="s">
        <v>2055</v>
      </c>
      <c r="E6" t="s">
        <v>150</v>
      </c>
      <c r="F6" t="s">
        <v>792</v>
      </c>
      <c r="G6" t="s">
        <v>22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32</v>
      </c>
      <c r="Q6" t="s">
        <v>32</v>
      </c>
      <c r="R6" t="s">
        <v>33</v>
      </c>
    </row>
    <row r="7" spans="1:18" x14ac:dyDescent="0.45">
      <c r="A7" t="s">
        <v>712</v>
      </c>
      <c r="B7" t="s">
        <v>2039</v>
      </c>
      <c r="C7" t="s">
        <v>2054</v>
      </c>
      <c r="D7" t="s">
        <v>2055</v>
      </c>
      <c r="E7" t="s">
        <v>220</v>
      </c>
      <c r="F7" t="s">
        <v>850</v>
      </c>
      <c r="G7" t="s">
        <v>213</v>
      </c>
      <c r="H7" t="s">
        <v>76</v>
      </c>
      <c r="I7" t="s">
        <v>188</v>
      </c>
      <c r="J7" t="s">
        <v>189</v>
      </c>
      <c r="K7" t="s">
        <v>287</v>
      </c>
      <c r="L7" t="s">
        <v>2056</v>
      </c>
      <c r="M7" t="s">
        <v>30</v>
      </c>
      <c r="N7" t="s">
        <v>31</v>
      </c>
      <c r="O7" t="s">
        <v>32</v>
      </c>
      <c r="P7" t="s">
        <v>32</v>
      </c>
      <c r="Q7" t="s">
        <v>32</v>
      </c>
      <c r="R7" t="s">
        <v>33</v>
      </c>
    </row>
    <row r="8" spans="1:18" x14ac:dyDescent="0.45">
      <c r="A8" t="s">
        <v>712</v>
      </c>
      <c r="B8" t="s">
        <v>2039</v>
      </c>
      <c r="C8" t="s">
        <v>2054</v>
      </c>
      <c r="D8" t="s">
        <v>2055</v>
      </c>
      <c r="E8" t="s">
        <v>47</v>
      </c>
      <c r="F8" t="s">
        <v>730</v>
      </c>
      <c r="G8" t="s">
        <v>22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32</v>
      </c>
      <c r="Q8" t="s">
        <v>32</v>
      </c>
      <c r="R8" t="s">
        <v>33</v>
      </c>
    </row>
    <row r="9" spans="1:18" x14ac:dyDescent="0.45">
      <c r="A9" t="s">
        <v>712</v>
      </c>
      <c r="B9" t="s">
        <v>2039</v>
      </c>
      <c r="C9" t="s">
        <v>2054</v>
      </c>
      <c r="D9" t="s">
        <v>2055</v>
      </c>
      <c r="E9" t="s">
        <v>300</v>
      </c>
      <c r="F9" t="s">
        <v>895</v>
      </c>
      <c r="G9" t="s">
        <v>298</v>
      </c>
      <c r="H9" t="s">
        <v>85</v>
      </c>
      <c r="I9" t="s">
        <v>32</v>
      </c>
      <c r="J9" t="s">
        <v>32</v>
      </c>
      <c r="K9" t="s">
        <v>32</v>
      </c>
      <c r="L9" t="s">
        <v>32</v>
      </c>
      <c r="M9" t="s">
        <v>30</v>
      </c>
      <c r="N9" t="s">
        <v>302</v>
      </c>
      <c r="O9" t="s">
        <v>32</v>
      </c>
      <c r="P9" t="s">
        <v>32</v>
      </c>
      <c r="Q9" t="s">
        <v>32</v>
      </c>
      <c r="R9" t="s">
        <v>32</v>
      </c>
    </row>
    <row r="10" spans="1:18" x14ac:dyDescent="0.45">
      <c r="A10" t="s">
        <v>712</v>
      </c>
      <c r="B10" t="s">
        <v>2039</v>
      </c>
      <c r="C10" t="s">
        <v>2054</v>
      </c>
      <c r="D10" t="s">
        <v>2055</v>
      </c>
      <c r="E10" t="s">
        <v>946</v>
      </c>
      <c r="F10" t="s">
        <v>947</v>
      </c>
      <c r="G10" t="s">
        <v>946</v>
      </c>
      <c r="H10" t="s">
        <v>76</v>
      </c>
      <c r="I10" t="s">
        <v>26</v>
      </c>
      <c r="J10" t="s">
        <v>27</v>
      </c>
      <c r="K10" t="s">
        <v>28</v>
      </c>
      <c r="L10" t="s">
        <v>32</v>
      </c>
      <c r="M10" t="s">
        <v>30</v>
      </c>
      <c r="N10" t="s">
        <v>665</v>
      </c>
      <c r="O10" t="s">
        <v>32</v>
      </c>
      <c r="P10" t="s">
        <v>32</v>
      </c>
      <c r="Q10" t="s">
        <v>32</v>
      </c>
      <c r="R10" t="s">
        <v>32</v>
      </c>
    </row>
    <row r="11" spans="1:18" x14ac:dyDescent="0.45">
      <c r="A11" t="s">
        <v>712</v>
      </c>
      <c r="B11" t="s">
        <v>2039</v>
      </c>
      <c r="C11" t="s">
        <v>2054</v>
      </c>
      <c r="D11" t="s">
        <v>2055</v>
      </c>
      <c r="E11" t="s">
        <v>311</v>
      </c>
      <c r="F11" t="s">
        <v>922</v>
      </c>
      <c r="G11" t="s">
        <v>309</v>
      </c>
      <c r="H11" t="s">
        <v>233</v>
      </c>
      <c r="I11" t="s">
        <v>188</v>
      </c>
      <c r="J11" t="s">
        <v>312</v>
      </c>
      <c r="K11" t="s">
        <v>2043</v>
      </c>
      <c r="L11" t="s">
        <v>2049</v>
      </c>
      <c r="M11" t="s">
        <v>30</v>
      </c>
      <c r="N11" t="s">
        <v>331</v>
      </c>
      <c r="O11" t="s">
        <v>32</v>
      </c>
      <c r="P11" t="s">
        <v>32</v>
      </c>
      <c r="Q11" t="s">
        <v>32</v>
      </c>
      <c r="R11" t="s">
        <v>32</v>
      </c>
    </row>
    <row r="12" spans="1:18" x14ac:dyDescent="0.45">
      <c r="A12" t="s">
        <v>712</v>
      </c>
      <c r="B12" t="s">
        <v>2039</v>
      </c>
      <c r="C12" t="s">
        <v>2054</v>
      </c>
      <c r="D12" t="s">
        <v>2055</v>
      </c>
      <c r="E12" t="s">
        <v>955</v>
      </c>
      <c r="F12" t="s">
        <v>954</v>
      </c>
      <c r="G12" t="s">
        <v>661</v>
      </c>
      <c r="H12" t="s">
        <v>25</v>
      </c>
      <c r="I12" t="s">
        <v>26</v>
      </c>
      <c r="J12" t="s">
        <v>663</v>
      </c>
      <c r="K12" t="s">
        <v>2057</v>
      </c>
      <c r="L12" t="s">
        <v>664</v>
      </c>
      <c r="M12" t="s">
        <v>30</v>
      </c>
      <c r="N12" t="s">
        <v>665</v>
      </c>
      <c r="O12" t="s">
        <v>64</v>
      </c>
      <c r="P12" t="s">
        <v>32</v>
      </c>
      <c r="Q12" t="s">
        <v>32</v>
      </c>
      <c r="R12" t="s">
        <v>33</v>
      </c>
    </row>
    <row r="13" spans="1:18" x14ac:dyDescent="0.45">
      <c r="A13" t="s">
        <v>712</v>
      </c>
      <c r="B13" t="s">
        <v>2039</v>
      </c>
      <c r="C13" t="s">
        <v>2054</v>
      </c>
      <c r="D13" t="s">
        <v>2055</v>
      </c>
      <c r="E13" t="s">
        <v>778</v>
      </c>
      <c r="F13" t="s">
        <v>777</v>
      </c>
      <c r="G13" t="s">
        <v>22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32</v>
      </c>
      <c r="Q13" t="s">
        <v>32</v>
      </c>
      <c r="R13" t="s">
        <v>33</v>
      </c>
    </row>
    <row r="14" spans="1:18" x14ac:dyDescent="0.45">
      <c r="A14" t="s">
        <v>712</v>
      </c>
      <c r="B14" t="s">
        <v>2039</v>
      </c>
      <c r="C14" t="s">
        <v>2054</v>
      </c>
      <c r="D14" t="s">
        <v>2055</v>
      </c>
      <c r="E14" t="s">
        <v>969</v>
      </c>
      <c r="F14" t="s">
        <v>968</v>
      </c>
      <c r="G14" t="s">
        <v>672</v>
      </c>
      <c r="H14" t="s">
        <v>326</v>
      </c>
      <c r="I14" t="s">
        <v>26</v>
      </c>
      <c r="J14" t="s">
        <v>2013</v>
      </c>
      <c r="K14" t="s">
        <v>32</v>
      </c>
      <c r="L14" t="s">
        <v>2058</v>
      </c>
      <c r="M14" t="s">
        <v>30</v>
      </c>
      <c r="N14" t="s">
        <v>1922</v>
      </c>
      <c r="O14" t="s">
        <v>32</v>
      </c>
      <c r="P14" t="s">
        <v>32</v>
      </c>
      <c r="Q14" t="s">
        <v>32</v>
      </c>
      <c r="R14" t="s">
        <v>32</v>
      </c>
    </row>
    <row r="15" spans="1:18" x14ac:dyDescent="0.45">
      <c r="A15" t="s">
        <v>712</v>
      </c>
      <c r="B15" t="s">
        <v>2039</v>
      </c>
      <c r="C15" t="s">
        <v>2054</v>
      </c>
      <c r="D15" t="s">
        <v>2055</v>
      </c>
      <c r="E15" t="s">
        <v>951</v>
      </c>
      <c r="F15" t="s">
        <v>950</v>
      </c>
      <c r="G15" t="s">
        <v>59</v>
      </c>
      <c r="H15" t="s">
        <v>326</v>
      </c>
      <c r="I15" t="s">
        <v>26</v>
      </c>
      <c r="J15" t="s">
        <v>2013</v>
      </c>
      <c r="K15" t="s">
        <v>32</v>
      </c>
      <c r="L15" t="s">
        <v>265</v>
      </c>
      <c r="M15" t="s">
        <v>63</v>
      </c>
      <c r="N15" t="s">
        <v>64</v>
      </c>
      <c r="O15" t="s">
        <v>32</v>
      </c>
      <c r="P15" t="s">
        <v>65</v>
      </c>
      <c r="Q15" t="s">
        <v>961</v>
      </c>
      <c r="R15" t="s">
        <v>32</v>
      </c>
    </row>
    <row r="16" spans="1:18" x14ac:dyDescent="0.45">
      <c r="A16" t="s">
        <v>712</v>
      </c>
      <c r="B16" t="s">
        <v>2039</v>
      </c>
      <c r="C16" t="s">
        <v>2054</v>
      </c>
      <c r="D16" t="s">
        <v>2055</v>
      </c>
      <c r="E16" t="s">
        <v>642</v>
      </c>
      <c r="F16" t="s">
        <v>914</v>
      </c>
      <c r="G16" t="s">
        <v>905</v>
      </c>
      <c r="H16" t="s">
        <v>85</v>
      </c>
      <c r="I16" t="s">
        <v>26</v>
      </c>
      <c r="J16" t="s">
        <v>2013</v>
      </c>
      <c r="K16" t="s">
        <v>32</v>
      </c>
      <c r="L16" t="s">
        <v>1912</v>
      </c>
      <c r="M16" t="s">
        <v>30</v>
      </c>
      <c r="N16" t="s">
        <v>642</v>
      </c>
      <c r="O16" t="s">
        <v>32</v>
      </c>
      <c r="P16" t="s">
        <v>32</v>
      </c>
      <c r="Q16" t="s">
        <v>32</v>
      </c>
      <c r="R16" t="s">
        <v>32</v>
      </c>
    </row>
    <row r="17" spans="1:18" x14ac:dyDescent="0.45">
      <c r="E17" t="s">
        <v>911</v>
      </c>
      <c r="F17" t="s">
        <v>910</v>
      </c>
      <c r="G17" t="s">
        <v>905</v>
      </c>
      <c r="H17" t="s">
        <v>85</v>
      </c>
      <c r="I17" t="s">
        <v>26</v>
      </c>
      <c r="J17" t="s">
        <v>2013</v>
      </c>
      <c r="K17" t="s">
        <v>32</v>
      </c>
      <c r="L17" t="s">
        <v>1912</v>
      </c>
      <c r="M17" t="s">
        <v>30</v>
      </c>
      <c r="N17" t="s">
        <v>642</v>
      </c>
      <c r="O17" s="5" t="s">
        <v>32</v>
      </c>
      <c r="P17" s="5" t="s">
        <v>32</v>
      </c>
      <c r="Q17" s="5" t="s">
        <v>32</v>
      </c>
      <c r="R17" t="s">
        <v>32</v>
      </c>
    </row>
    <row r="18" spans="1:18" x14ac:dyDescent="0.45">
      <c r="A18" t="s">
        <v>712</v>
      </c>
      <c r="B18" t="s">
        <v>2039</v>
      </c>
      <c r="C18" t="s">
        <v>2054</v>
      </c>
      <c r="D18" t="s">
        <v>2055</v>
      </c>
      <c r="E18" t="s">
        <v>174</v>
      </c>
      <c r="F18" t="s">
        <v>817</v>
      </c>
      <c r="G18" t="s">
        <v>22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32</v>
      </c>
      <c r="Q18" t="s">
        <v>32</v>
      </c>
      <c r="R18" t="s">
        <v>33</v>
      </c>
    </row>
    <row r="19" spans="1:18" x14ac:dyDescent="0.45">
      <c r="A19" t="s">
        <v>712</v>
      </c>
      <c r="B19" t="s">
        <v>2039</v>
      </c>
      <c r="C19" t="s">
        <v>2054</v>
      </c>
      <c r="D19" t="s">
        <v>2055</v>
      </c>
      <c r="E19" t="s">
        <v>237</v>
      </c>
      <c r="F19" t="s">
        <v>867</v>
      </c>
      <c r="G19" t="s">
        <v>59</v>
      </c>
      <c r="H19" t="s">
        <v>233</v>
      </c>
      <c r="I19" t="s">
        <v>188</v>
      </c>
      <c r="J19" t="s">
        <v>246</v>
      </c>
      <c r="K19" t="s">
        <v>1885</v>
      </c>
      <c r="L19" t="s">
        <v>274</v>
      </c>
      <c r="M19" t="s">
        <v>63</v>
      </c>
      <c r="N19" t="s">
        <v>64</v>
      </c>
      <c r="O19" t="s">
        <v>32</v>
      </c>
      <c r="P19" t="s">
        <v>246</v>
      </c>
      <c r="Q19" t="s">
        <v>247</v>
      </c>
      <c r="R19" t="s">
        <v>32</v>
      </c>
    </row>
    <row r="20" spans="1:18" x14ac:dyDescent="0.45">
      <c r="A20" t="s">
        <v>712</v>
      </c>
      <c r="B20" t="s">
        <v>2039</v>
      </c>
      <c r="C20" t="s">
        <v>2054</v>
      </c>
      <c r="D20" t="s">
        <v>2055</v>
      </c>
      <c r="E20" t="s">
        <v>97</v>
      </c>
      <c r="F20" t="s">
        <v>760</v>
      </c>
      <c r="G20" t="s">
        <v>22</v>
      </c>
      <c r="H20" t="s">
        <v>76</v>
      </c>
      <c r="I20" t="s">
        <v>188</v>
      </c>
      <c r="J20" t="s">
        <v>189</v>
      </c>
      <c r="K20" t="s">
        <v>190</v>
      </c>
      <c r="L20" t="s">
        <v>29</v>
      </c>
      <c r="M20" t="s">
        <v>30</v>
      </c>
      <c r="N20" t="s">
        <v>31</v>
      </c>
      <c r="O20" t="s">
        <v>32</v>
      </c>
      <c r="P20" t="s">
        <v>32</v>
      </c>
      <c r="Q20" t="s">
        <v>32</v>
      </c>
      <c r="R20" t="s">
        <v>33</v>
      </c>
    </row>
    <row r="21" spans="1:18" x14ac:dyDescent="0.45">
      <c r="A21" t="s">
        <v>712</v>
      </c>
      <c r="B21" t="s">
        <v>2039</v>
      </c>
      <c r="C21" t="s">
        <v>2054</v>
      </c>
      <c r="D21" t="s">
        <v>2055</v>
      </c>
      <c r="E21" t="s">
        <v>84</v>
      </c>
      <c r="F21" t="s">
        <v>751</v>
      </c>
      <c r="G21" t="s">
        <v>22</v>
      </c>
      <c r="H21" t="s">
        <v>85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 t="s">
        <v>32</v>
      </c>
      <c r="Q21" t="s">
        <v>32</v>
      </c>
      <c r="R21" t="s">
        <v>33</v>
      </c>
    </row>
    <row r="22" spans="1:18" x14ac:dyDescent="0.45">
      <c r="A22" t="s">
        <v>712</v>
      </c>
      <c r="B22" t="s">
        <v>2039</v>
      </c>
      <c r="C22" t="s">
        <v>2054</v>
      </c>
      <c r="D22" t="s">
        <v>2055</v>
      </c>
      <c r="E22" t="s">
        <v>142</v>
      </c>
      <c r="F22" t="s">
        <v>789</v>
      </c>
      <c r="G22" t="s">
        <v>22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32</v>
      </c>
      <c r="Q22" t="s">
        <v>32</v>
      </c>
      <c r="R22" t="s">
        <v>33</v>
      </c>
    </row>
    <row r="23" spans="1:18" x14ac:dyDescent="0.45">
      <c r="A23" t="s">
        <v>712</v>
      </c>
      <c r="B23" t="s">
        <v>2039</v>
      </c>
      <c r="C23" t="s">
        <v>2054</v>
      </c>
      <c r="D23" t="s">
        <v>2055</v>
      </c>
      <c r="E23" t="s">
        <v>93</v>
      </c>
      <c r="F23" t="s">
        <v>757</v>
      </c>
      <c r="G23" t="s">
        <v>22</v>
      </c>
      <c r="H23" t="s">
        <v>71</v>
      </c>
      <c r="I23" t="s">
        <v>188</v>
      </c>
      <c r="J23" t="s">
        <v>189</v>
      </c>
      <c r="K23" t="s">
        <v>190</v>
      </c>
      <c r="L23" t="s">
        <v>29</v>
      </c>
      <c r="M23" t="s">
        <v>30</v>
      </c>
      <c r="N23" t="s">
        <v>31</v>
      </c>
      <c r="O23" t="s">
        <v>32</v>
      </c>
      <c r="P23" t="s">
        <v>32</v>
      </c>
      <c r="Q23" t="s">
        <v>32</v>
      </c>
      <c r="R23" t="s">
        <v>33</v>
      </c>
    </row>
    <row r="24" spans="1:18" x14ac:dyDescent="0.45">
      <c r="A24" t="s">
        <v>712</v>
      </c>
      <c r="B24" t="s">
        <v>2039</v>
      </c>
      <c r="C24" t="s">
        <v>2054</v>
      </c>
      <c r="D24" t="s">
        <v>2055</v>
      </c>
      <c r="E24" t="s">
        <v>372</v>
      </c>
      <c r="F24" t="s">
        <v>975</v>
      </c>
      <c r="G24" t="s">
        <v>372</v>
      </c>
      <c r="H24" t="s">
        <v>56</v>
      </c>
      <c r="I24" t="s">
        <v>188</v>
      </c>
      <c r="J24" t="s">
        <v>189</v>
      </c>
      <c r="K24" t="s">
        <v>32</v>
      </c>
      <c r="L24" t="s">
        <v>374</v>
      </c>
      <c r="M24" t="s">
        <v>30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</row>
    <row r="25" spans="1:18" x14ac:dyDescent="0.45">
      <c r="A25" t="s">
        <v>712</v>
      </c>
      <c r="B25" t="s">
        <v>2039</v>
      </c>
      <c r="C25" t="s">
        <v>2054</v>
      </c>
      <c r="D25" t="s">
        <v>2055</v>
      </c>
      <c r="E25" t="s">
        <v>215</v>
      </c>
      <c r="F25" t="s">
        <v>847</v>
      </c>
      <c r="G25" t="s">
        <v>213</v>
      </c>
      <c r="H25" t="s">
        <v>76</v>
      </c>
      <c r="I25" t="s">
        <v>26</v>
      </c>
      <c r="J25" t="s">
        <v>27</v>
      </c>
      <c r="K25" t="s">
        <v>28</v>
      </c>
      <c r="L25" t="s">
        <v>216</v>
      </c>
      <c r="M25" t="s">
        <v>30</v>
      </c>
      <c r="N25" t="s">
        <v>31</v>
      </c>
      <c r="O25" t="s">
        <v>32</v>
      </c>
      <c r="P25" t="s">
        <v>32</v>
      </c>
      <c r="Q25" t="s">
        <v>32</v>
      </c>
      <c r="R25" t="s">
        <v>33</v>
      </c>
    </row>
    <row r="26" spans="1:18" x14ac:dyDescent="0.45">
      <c r="A26" t="s">
        <v>712</v>
      </c>
      <c r="B26" t="s">
        <v>2039</v>
      </c>
      <c r="C26" t="s">
        <v>2054</v>
      </c>
      <c r="D26" t="s">
        <v>2055</v>
      </c>
      <c r="E26" t="s">
        <v>786</v>
      </c>
      <c r="F26" t="s">
        <v>785</v>
      </c>
      <c r="G26" t="s">
        <v>22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32</v>
      </c>
      <c r="Q26" t="s">
        <v>32</v>
      </c>
      <c r="R26" t="s">
        <v>33</v>
      </c>
    </row>
    <row r="27" spans="1:18" x14ac:dyDescent="0.45">
      <c r="A27" t="s">
        <v>712</v>
      </c>
      <c r="B27" t="s">
        <v>2039</v>
      </c>
      <c r="C27" t="s">
        <v>2054</v>
      </c>
      <c r="D27" t="s">
        <v>2055</v>
      </c>
      <c r="E27" t="s">
        <v>786</v>
      </c>
      <c r="F27" t="s">
        <v>785</v>
      </c>
      <c r="G27" t="s">
        <v>22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32</v>
      </c>
      <c r="Q27" t="s">
        <v>32</v>
      </c>
      <c r="R27" t="s">
        <v>33</v>
      </c>
    </row>
    <row r="28" spans="1:18" x14ac:dyDescent="0.45">
      <c r="A28" t="s">
        <v>712</v>
      </c>
      <c r="B28" t="s">
        <v>2039</v>
      </c>
      <c r="C28" t="s">
        <v>2054</v>
      </c>
      <c r="D28" t="s">
        <v>2055</v>
      </c>
      <c r="E28" t="s">
        <v>786</v>
      </c>
      <c r="F28" t="s">
        <v>785</v>
      </c>
      <c r="G28" t="s">
        <v>22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32</v>
      </c>
      <c r="Q28" t="s">
        <v>32</v>
      </c>
      <c r="R28" t="s">
        <v>33</v>
      </c>
    </row>
    <row r="29" spans="1:18" x14ac:dyDescent="0.45">
      <c r="A29" t="s">
        <v>712</v>
      </c>
      <c r="B29" t="s">
        <v>2039</v>
      </c>
      <c r="C29" t="s">
        <v>2054</v>
      </c>
      <c r="D29" t="s">
        <v>2055</v>
      </c>
      <c r="E29" t="s">
        <v>902</v>
      </c>
      <c r="F29" t="s">
        <v>901</v>
      </c>
      <c r="G29" t="s">
        <v>298</v>
      </c>
      <c r="H29" t="s">
        <v>85</v>
      </c>
      <c r="I29" t="s">
        <v>32</v>
      </c>
      <c r="J29" t="s">
        <v>32</v>
      </c>
      <c r="K29" t="s">
        <v>32</v>
      </c>
      <c r="L29" t="s">
        <v>32</v>
      </c>
      <c r="M29" t="s">
        <v>30</v>
      </c>
      <c r="N29" t="s">
        <v>302</v>
      </c>
      <c r="O29" t="s">
        <v>32</v>
      </c>
      <c r="P29" t="s">
        <v>32</v>
      </c>
      <c r="Q29" t="s">
        <v>32</v>
      </c>
      <c r="R29" t="s">
        <v>32</v>
      </c>
    </row>
    <row r="30" spans="1:18" x14ac:dyDescent="0.45">
      <c r="A30" t="s">
        <v>712</v>
      </c>
      <c r="B30" t="s">
        <v>2039</v>
      </c>
      <c r="C30" t="s">
        <v>2054</v>
      </c>
      <c r="D30" t="s">
        <v>2055</v>
      </c>
      <c r="E30" t="s">
        <v>93</v>
      </c>
      <c r="F30" t="s">
        <v>757</v>
      </c>
      <c r="G30" t="s">
        <v>22</v>
      </c>
      <c r="H30" t="s">
        <v>71</v>
      </c>
      <c r="I30" t="s">
        <v>188</v>
      </c>
      <c r="J30" t="s">
        <v>189</v>
      </c>
      <c r="K30" t="s">
        <v>190</v>
      </c>
      <c r="L30" t="s">
        <v>29</v>
      </c>
      <c r="M30" t="s">
        <v>30</v>
      </c>
      <c r="N30" t="s">
        <v>31</v>
      </c>
      <c r="O30" t="s">
        <v>32</v>
      </c>
      <c r="P30" t="s">
        <v>32</v>
      </c>
      <c r="Q30" t="s">
        <v>32</v>
      </c>
      <c r="R30" t="s">
        <v>33</v>
      </c>
    </row>
    <row r="31" spans="1:18" x14ac:dyDescent="0.45">
      <c r="A31" t="s">
        <v>712</v>
      </c>
      <c r="B31" t="s">
        <v>2039</v>
      </c>
      <c r="C31" t="s">
        <v>2054</v>
      </c>
      <c r="D31" t="s">
        <v>2055</v>
      </c>
      <c r="E31" t="s">
        <v>93</v>
      </c>
      <c r="F31" t="s">
        <v>757</v>
      </c>
      <c r="G31" t="s">
        <v>22</v>
      </c>
      <c r="H31" t="s">
        <v>71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32</v>
      </c>
      <c r="Q31" t="s">
        <v>32</v>
      </c>
      <c r="R31" t="s">
        <v>33</v>
      </c>
    </row>
    <row r="32" spans="1:18" x14ac:dyDescent="0.45">
      <c r="A32" t="s">
        <v>712</v>
      </c>
      <c r="B32" t="s">
        <v>2039</v>
      </c>
      <c r="C32" t="s">
        <v>2054</v>
      </c>
      <c r="D32" t="s">
        <v>2055</v>
      </c>
      <c r="E32" t="s">
        <v>840</v>
      </c>
      <c r="F32" t="s">
        <v>839</v>
      </c>
      <c r="G32" t="s">
        <v>22</v>
      </c>
      <c r="H32" t="s">
        <v>71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32</v>
      </c>
      <c r="Q32" t="s">
        <v>32</v>
      </c>
      <c r="R32" t="s">
        <v>33</v>
      </c>
    </row>
    <row r="33" spans="1:18" x14ac:dyDescent="0.45">
      <c r="A33" t="s">
        <v>712</v>
      </c>
      <c r="B33" t="s">
        <v>2039</v>
      </c>
      <c r="C33" t="s">
        <v>2054</v>
      </c>
      <c r="D33" t="s">
        <v>2055</v>
      </c>
      <c r="E33" t="s">
        <v>80</v>
      </c>
      <c r="F33" t="s">
        <v>748</v>
      </c>
      <c r="G33" t="s">
        <v>22</v>
      </c>
      <c r="H33" t="s">
        <v>71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 t="s">
        <v>32</v>
      </c>
      <c r="Q33" t="s">
        <v>32</v>
      </c>
      <c r="R33" t="s">
        <v>33</v>
      </c>
    </row>
    <row r="34" spans="1:18" x14ac:dyDescent="0.45">
      <c r="A34" t="s">
        <v>712</v>
      </c>
      <c r="B34" t="s">
        <v>2039</v>
      </c>
      <c r="C34" t="s">
        <v>2054</v>
      </c>
      <c r="D34" t="s">
        <v>2055</v>
      </c>
      <c r="E34" t="s">
        <v>821</v>
      </c>
      <c r="F34" t="s">
        <v>820</v>
      </c>
      <c r="G34" t="s">
        <v>22</v>
      </c>
      <c r="H34" t="s">
        <v>71</v>
      </c>
      <c r="I34" t="s">
        <v>188</v>
      </c>
      <c r="J34" t="s">
        <v>189</v>
      </c>
      <c r="K34" t="s">
        <v>190</v>
      </c>
      <c r="L34" t="s">
        <v>29</v>
      </c>
      <c r="M34" t="s">
        <v>30</v>
      </c>
      <c r="N34" t="s">
        <v>31</v>
      </c>
      <c r="O34" t="s">
        <v>32</v>
      </c>
      <c r="P34" t="s">
        <v>32</v>
      </c>
      <c r="Q34" t="s">
        <v>32</v>
      </c>
      <c r="R34" t="s">
        <v>33</v>
      </c>
    </row>
    <row r="35" spans="1:18" x14ac:dyDescent="0.45">
      <c r="A35" t="s">
        <v>712</v>
      </c>
      <c r="B35" t="s">
        <v>2039</v>
      </c>
      <c r="C35" t="s">
        <v>2054</v>
      </c>
      <c r="D35" t="s">
        <v>2055</v>
      </c>
      <c r="E35" t="s">
        <v>825</v>
      </c>
      <c r="F35" t="s">
        <v>824</v>
      </c>
      <c r="G35" t="s">
        <v>22</v>
      </c>
      <c r="H35" t="s">
        <v>71</v>
      </c>
      <c r="I35" t="s">
        <v>188</v>
      </c>
      <c r="J35" t="s">
        <v>189</v>
      </c>
      <c r="K35" t="s">
        <v>190</v>
      </c>
      <c r="L35" t="s">
        <v>29</v>
      </c>
      <c r="M35" t="s">
        <v>30</v>
      </c>
      <c r="N35" t="s">
        <v>31</v>
      </c>
      <c r="O35" t="s">
        <v>32</v>
      </c>
      <c r="P35" t="s">
        <v>32</v>
      </c>
      <c r="Q35" t="s">
        <v>32</v>
      </c>
      <c r="R35" t="s">
        <v>33</v>
      </c>
    </row>
    <row r="36" spans="1:18" x14ac:dyDescent="0.45">
      <c r="A36" t="s">
        <v>712</v>
      </c>
      <c r="B36" t="s">
        <v>2039</v>
      </c>
      <c r="C36" t="s">
        <v>2054</v>
      </c>
      <c r="D36" t="s">
        <v>2055</v>
      </c>
      <c r="E36" t="s">
        <v>321</v>
      </c>
      <c r="F36" t="s">
        <v>928</v>
      </c>
      <c r="G36" t="s">
        <v>309</v>
      </c>
      <c r="H36" t="s">
        <v>187</v>
      </c>
      <c r="I36" t="s">
        <v>188</v>
      </c>
      <c r="J36" t="s">
        <v>312</v>
      </c>
      <c r="K36" t="s">
        <v>2043</v>
      </c>
      <c r="L36" t="s">
        <v>2044</v>
      </c>
      <c r="M36" t="s">
        <v>30</v>
      </c>
      <c r="N36" t="s">
        <v>331</v>
      </c>
      <c r="O36" t="s">
        <v>32</v>
      </c>
      <c r="P36" t="s">
        <v>32</v>
      </c>
      <c r="Q36" t="s">
        <v>32</v>
      </c>
      <c r="R36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4"/>
  <sheetViews>
    <sheetView workbookViewId="0">
      <selection activeCell="E47" sqref="E47"/>
    </sheetView>
  </sheetViews>
  <sheetFormatPr defaultRowHeight="14.25" x14ac:dyDescent="0.45"/>
  <cols>
    <col min="1" max="1" width="20.1328125" bestFit="1" customWidth="1"/>
    <col min="2" max="2" width="26.73046875" bestFit="1" customWidth="1"/>
    <col min="3" max="3" width="21.59765625" bestFit="1" customWidth="1"/>
    <col min="4" max="4" width="18.73046875" bestFit="1" customWidth="1"/>
    <col min="5" max="5" width="30.265625" bestFit="1" customWidth="1"/>
    <col min="6" max="6" width="11.265625" bestFit="1" customWidth="1"/>
    <col min="7" max="7" width="18.1328125" bestFit="1" customWidth="1"/>
    <col min="8" max="8" width="7.59765625" bestFit="1" customWidth="1"/>
    <col min="9" max="9" width="16.3984375" bestFit="1" customWidth="1"/>
    <col min="10" max="10" width="13.73046875" bestFit="1" customWidth="1"/>
    <col min="11" max="11" width="11" bestFit="1" customWidth="1"/>
    <col min="12" max="12" width="12.3984375" bestFit="1" customWidth="1"/>
    <col min="13" max="13" width="9.265625" bestFit="1" customWidth="1"/>
    <col min="14" max="14" width="15.1328125" bestFit="1" customWidth="1"/>
    <col min="15" max="15" width="12.86328125" bestFit="1" customWidth="1"/>
    <col min="16" max="16" width="20.73046875" bestFit="1" customWidth="1"/>
    <col min="17" max="17" width="19.3984375" bestFit="1" customWidth="1"/>
    <col min="18" max="18" width="10.86328125" bestFit="1" customWidth="1"/>
  </cols>
  <sheetData>
    <row r="1" spans="1:18" x14ac:dyDescent="0.45">
      <c r="A1" t="s">
        <v>0</v>
      </c>
      <c r="B1" t="s">
        <v>2036</v>
      </c>
      <c r="C1" t="s">
        <v>2037</v>
      </c>
      <c r="D1" t="s">
        <v>2038</v>
      </c>
      <c r="E1" t="s">
        <v>3</v>
      </c>
      <c r="F1" t="s">
        <v>2</v>
      </c>
      <c r="G1" t="s">
        <v>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45">
      <c r="A2" t="s">
        <v>712</v>
      </c>
      <c r="B2" t="s">
        <v>2039</v>
      </c>
      <c r="C2" t="s">
        <v>2059</v>
      </c>
      <c r="D2" t="s">
        <v>2041</v>
      </c>
      <c r="E2" t="s">
        <v>43</v>
      </c>
      <c r="F2" t="s">
        <v>719</v>
      </c>
      <c r="G2" t="s">
        <v>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33</v>
      </c>
    </row>
    <row r="3" spans="1:18" x14ac:dyDescent="0.45">
      <c r="A3" t="s">
        <v>712</v>
      </c>
      <c r="B3" t="s">
        <v>2039</v>
      </c>
      <c r="C3" t="s">
        <v>2059</v>
      </c>
      <c r="D3" t="s">
        <v>2041</v>
      </c>
      <c r="E3" t="s">
        <v>24</v>
      </c>
      <c r="F3" t="s">
        <v>713</v>
      </c>
      <c r="G3" t="s">
        <v>22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32</v>
      </c>
      <c r="Q3" t="s">
        <v>32</v>
      </c>
      <c r="R3" t="s">
        <v>33</v>
      </c>
    </row>
    <row r="4" spans="1:18" x14ac:dyDescent="0.45">
      <c r="A4" t="s">
        <v>712</v>
      </c>
      <c r="B4" t="s">
        <v>2039</v>
      </c>
      <c r="C4" t="s">
        <v>2059</v>
      </c>
      <c r="D4" t="s">
        <v>2041</v>
      </c>
      <c r="E4" t="s">
        <v>771</v>
      </c>
      <c r="F4" t="s">
        <v>770</v>
      </c>
      <c r="G4" t="s">
        <v>22</v>
      </c>
      <c r="H4" t="s">
        <v>233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32</v>
      </c>
      <c r="Q4" t="s">
        <v>32</v>
      </c>
      <c r="R4" t="s">
        <v>33</v>
      </c>
    </row>
    <row r="5" spans="1:18" x14ac:dyDescent="0.45">
      <c r="A5" t="s">
        <v>712</v>
      </c>
      <c r="B5" t="s">
        <v>2039</v>
      </c>
      <c r="C5" t="s">
        <v>2059</v>
      </c>
      <c r="D5" t="s">
        <v>2041</v>
      </c>
      <c r="E5" t="s">
        <v>771</v>
      </c>
      <c r="F5" t="s">
        <v>770</v>
      </c>
      <c r="G5" t="s">
        <v>22</v>
      </c>
      <c r="H5" t="s">
        <v>233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33</v>
      </c>
    </row>
    <row r="6" spans="1:18" x14ac:dyDescent="0.45">
      <c r="A6" t="s">
        <v>712</v>
      </c>
      <c r="B6" t="s">
        <v>2039</v>
      </c>
      <c r="C6" t="s">
        <v>2059</v>
      </c>
      <c r="D6" t="s">
        <v>2041</v>
      </c>
      <c r="E6" t="s">
        <v>220</v>
      </c>
      <c r="F6" t="s">
        <v>850</v>
      </c>
      <c r="G6" t="s">
        <v>213</v>
      </c>
      <c r="H6" t="s">
        <v>76</v>
      </c>
      <c r="I6" t="s">
        <v>188</v>
      </c>
      <c r="J6" t="s">
        <v>189</v>
      </c>
      <c r="K6" t="s">
        <v>190</v>
      </c>
      <c r="L6" t="s">
        <v>2056</v>
      </c>
      <c r="M6" t="s">
        <v>30</v>
      </c>
      <c r="N6" t="s">
        <v>31</v>
      </c>
      <c r="O6" t="s">
        <v>32</v>
      </c>
      <c r="P6" t="s">
        <v>32</v>
      </c>
      <c r="Q6" t="s">
        <v>32</v>
      </c>
      <c r="R6" t="s">
        <v>33</v>
      </c>
    </row>
    <row r="7" spans="1:18" x14ac:dyDescent="0.45">
      <c r="A7" t="s">
        <v>712</v>
      </c>
      <c r="B7" t="s">
        <v>2039</v>
      </c>
      <c r="C7" t="s">
        <v>2059</v>
      </c>
      <c r="D7" t="s">
        <v>2041</v>
      </c>
      <c r="E7" t="s">
        <v>47</v>
      </c>
      <c r="F7" t="s">
        <v>730</v>
      </c>
      <c r="G7" t="s">
        <v>22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32</v>
      </c>
      <c r="Q7" t="s">
        <v>32</v>
      </c>
      <c r="R7" t="s">
        <v>33</v>
      </c>
    </row>
    <row r="8" spans="1:18" x14ac:dyDescent="0.45">
      <c r="A8" t="s">
        <v>712</v>
      </c>
      <c r="B8" t="s">
        <v>2039</v>
      </c>
      <c r="C8" t="s">
        <v>2059</v>
      </c>
      <c r="D8" t="s">
        <v>2041</v>
      </c>
      <c r="E8" t="s">
        <v>300</v>
      </c>
      <c r="F8" t="s">
        <v>895</v>
      </c>
      <c r="G8" t="s">
        <v>298</v>
      </c>
      <c r="H8" t="s">
        <v>85</v>
      </c>
      <c r="I8" t="s">
        <v>32</v>
      </c>
      <c r="J8" t="s">
        <v>32</v>
      </c>
      <c r="K8" t="s">
        <v>32</v>
      </c>
      <c r="L8" t="s">
        <v>32</v>
      </c>
      <c r="M8" t="s">
        <v>30</v>
      </c>
      <c r="N8" t="s">
        <v>302</v>
      </c>
      <c r="O8" t="s">
        <v>32</v>
      </c>
      <c r="P8" t="s">
        <v>32</v>
      </c>
      <c r="Q8" t="s">
        <v>32</v>
      </c>
      <c r="R8" t="s">
        <v>32</v>
      </c>
    </row>
    <row r="9" spans="1:18" x14ac:dyDescent="0.45">
      <c r="A9" t="s">
        <v>712</v>
      </c>
      <c r="B9" t="s">
        <v>2039</v>
      </c>
      <c r="C9" t="s">
        <v>2059</v>
      </c>
      <c r="D9" t="s">
        <v>2041</v>
      </c>
      <c r="E9" t="s">
        <v>946</v>
      </c>
      <c r="F9" t="s">
        <v>947</v>
      </c>
      <c r="G9" t="s">
        <v>946</v>
      </c>
      <c r="H9" t="s">
        <v>76</v>
      </c>
      <c r="I9" t="s">
        <v>26</v>
      </c>
      <c r="J9" t="s">
        <v>27</v>
      </c>
      <c r="K9" t="s">
        <v>28</v>
      </c>
      <c r="L9" t="s">
        <v>32</v>
      </c>
      <c r="M9" t="s">
        <v>30</v>
      </c>
      <c r="N9" t="s">
        <v>665</v>
      </c>
      <c r="O9" t="s">
        <v>32</v>
      </c>
      <c r="P9" t="s">
        <v>32</v>
      </c>
      <c r="Q9" t="s">
        <v>32</v>
      </c>
      <c r="R9" t="s">
        <v>32</v>
      </c>
    </row>
    <row r="10" spans="1:18" x14ac:dyDescent="0.45">
      <c r="A10" t="s">
        <v>712</v>
      </c>
      <c r="B10" t="s">
        <v>2039</v>
      </c>
      <c r="C10" t="s">
        <v>2059</v>
      </c>
      <c r="D10" t="s">
        <v>2041</v>
      </c>
      <c r="E10" t="s">
        <v>311</v>
      </c>
      <c r="F10" t="s">
        <v>922</v>
      </c>
      <c r="G10" t="s">
        <v>309</v>
      </c>
      <c r="H10" t="s">
        <v>233</v>
      </c>
      <c r="I10" t="s">
        <v>188</v>
      </c>
      <c r="J10" t="s">
        <v>312</v>
      </c>
      <c r="K10" t="s">
        <v>2043</v>
      </c>
      <c r="L10" t="s">
        <v>2049</v>
      </c>
      <c r="M10" t="s">
        <v>30</v>
      </c>
      <c r="N10" t="s">
        <v>331</v>
      </c>
      <c r="O10" t="s">
        <v>32</v>
      </c>
      <c r="P10" t="s">
        <v>32</v>
      </c>
      <c r="Q10" t="s">
        <v>32</v>
      </c>
      <c r="R10" t="s">
        <v>32</v>
      </c>
    </row>
    <row r="11" spans="1:18" x14ac:dyDescent="0.45">
      <c r="A11" t="s">
        <v>712</v>
      </c>
      <c r="B11" t="s">
        <v>2039</v>
      </c>
      <c r="C11" t="s">
        <v>2059</v>
      </c>
      <c r="D11" t="s">
        <v>2041</v>
      </c>
      <c r="E11" t="s">
        <v>955</v>
      </c>
      <c r="F11" t="s">
        <v>954</v>
      </c>
      <c r="G11" t="s">
        <v>661</v>
      </c>
      <c r="H11" t="s">
        <v>25</v>
      </c>
      <c r="I11" t="s">
        <v>26</v>
      </c>
      <c r="J11" t="s">
        <v>663</v>
      </c>
      <c r="K11" t="s">
        <v>28</v>
      </c>
      <c r="L11" t="s">
        <v>2060</v>
      </c>
      <c r="M11" t="s">
        <v>30</v>
      </c>
      <c r="N11" t="s">
        <v>665</v>
      </c>
      <c r="O11" t="s">
        <v>64</v>
      </c>
      <c r="P11" t="s">
        <v>32</v>
      </c>
      <c r="Q11" t="s">
        <v>32</v>
      </c>
      <c r="R11" t="s">
        <v>33</v>
      </c>
    </row>
    <row r="12" spans="1:18" x14ac:dyDescent="0.45">
      <c r="A12" t="s">
        <v>712</v>
      </c>
      <c r="B12" t="s">
        <v>2039</v>
      </c>
      <c r="C12" t="s">
        <v>2059</v>
      </c>
      <c r="D12" t="s">
        <v>2041</v>
      </c>
      <c r="E12" t="s">
        <v>778</v>
      </c>
      <c r="F12" t="s">
        <v>777</v>
      </c>
      <c r="G12" t="s">
        <v>22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32</v>
      </c>
      <c r="Q12" t="s">
        <v>32</v>
      </c>
      <c r="R12" t="s">
        <v>33</v>
      </c>
    </row>
    <row r="13" spans="1:18" x14ac:dyDescent="0.45">
      <c r="A13" t="s">
        <v>712</v>
      </c>
      <c r="B13" t="s">
        <v>2039</v>
      </c>
      <c r="C13" t="s">
        <v>2059</v>
      </c>
      <c r="D13" t="s">
        <v>2041</v>
      </c>
      <c r="E13" t="s">
        <v>969</v>
      </c>
      <c r="F13" t="s">
        <v>968</v>
      </c>
      <c r="G13" t="s">
        <v>672</v>
      </c>
      <c r="H13" t="s">
        <v>326</v>
      </c>
      <c r="I13" t="s">
        <v>26</v>
      </c>
      <c r="J13" t="s">
        <v>2013</v>
      </c>
      <c r="K13" t="s">
        <v>32</v>
      </c>
      <c r="L13" t="s">
        <v>2058</v>
      </c>
      <c r="M13" t="s">
        <v>30</v>
      </c>
      <c r="N13" t="s">
        <v>1922</v>
      </c>
      <c r="O13" t="s">
        <v>32</v>
      </c>
      <c r="P13" t="s">
        <v>32</v>
      </c>
      <c r="Q13" t="s">
        <v>32</v>
      </c>
      <c r="R13" t="s">
        <v>32</v>
      </c>
    </row>
    <row r="14" spans="1:18" x14ac:dyDescent="0.45">
      <c r="A14" t="s">
        <v>712</v>
      </c>
      <c r="B14" t="s">
        <v>2039</v>
      </c>
      <c r="C14" t="s">
        <v>2059</v>
      </c>
      <c r="D14" t="s">
        <v>2041</v>
      </c>
      <c r="E14" t="s">
        <v>951</v>
      </c>
      <c r="F14" t="s">
        <v>950</v>
      </c>
      <c r="G14" t="s">
        <v>59</v>
      </c>
      <c r="H14" t="s">
        <v>326</v>
      </c>
      <c r="I14" t="s">
        <v>26</v>
      </c>
      <c r="J14" t="s">
        <v>2013</v>
      </c>
      <c r="K14" t="s">
        <v>32</v>
      </c>
      <c r="L14" t="s">
        <v>265</v>
      </c>
      <c r="M14" t="s">
        <v>63</v>
      </c>
      <c r="N14" t="s">
        <v>64</v>
      </c>
      <c r="O14" t="s">
        <v>32</v>
      </c>
      <c r="P14" t="s">
        <v>65</v>
      </c>
      <c r="Q14" t="s">
        <v>961</v>
      </c>
      <c r="R14" t="s">
        <v>32</v>
      </c>
    </row>
    <row r="15" spans="1:18" x14ac:dyDescent="0.45">
      <c r="A15" t="s">
        <v>712</v>
      </c>
      <c r="B15" t="s">
        <v>2039</v>
      </c>
      <c r="C15" t="s">
        <v>2059</v>
      </c>
      <c r="D15" t="s">
        <v>2041</v>
      </c>
      <c r="E15" t="s">
        <v>642</v>
      </c>
      <c r="F15" t="s">
        <v>914</v>
      </c>
      <c r="G15" t="s">
        <v>905</v>
      </c>
      <c r="H15" t="s">
        <v>85</v>
      </c>
      <c r="I15" t="s">
        <v>26</v>
      </c>
      <c r="J15" t="s">
        <v>2013</v>
      </c>
      <c r="K15" t="s">
        <v>32</v>
      </c>
      <c r="L15" t="s">
        <v>1912</v>
      </c>
      <c r="M15" t="s">
        <v>30</v>
      </c>
      <c r="N15" t="s">
        <v>642</v>
      </c>
      <c r="O15" t="s">
        <v>32</v>
      </c>
      <c r="P15" t="s">
        <v>32</v>
      </c>
      <c r="Q15" t="s">
        <v>32</v>
      </c>
      <c r="R15" t="s">
        <v>32</v>
      </c>
    </row>
    <row r="16" spans="1:18" x14ac:dyDescent="0.45">
      <c r="A16" t="s">
        <v>712</v>
      </c>
      <c r="B16" t="s">
        <v>2039</v>
      </c>
      <c r="C16" t="s">
        <v>2059</v>
      </c>
      <c r="D16" t="s">
        <v>2041</v>
      </c>
      <c r="E16" t="s">
        <v>911</v>
      </c>
      <c r="F16" t="s">
        <v>910</v>
      </c>
      <c r="G16" t="s">
        <v>905</v>
      </c>
      <c r="H16" t="s">
        <v>85</v>
      </c>
      <c r="I16" t="s">
        <v>26</v>
      </c>
      <c r="J16" t="s">
        <v>2013</v>
      </c>
      <c r="K16" t="s">
        <v>32</v>
      </c>
      <c r="L16" t="s">
        <v>1912</v>
      </c>
      <c r="M16" t="s">
        <v>30</v>
      </c>
      <c r="N16" t="s">
        <v>911</v>
      </c>
      <c r="O16" t="s">
        <v>32</v>
      </c>
      <c r="P16" t="s">
        <v>2061</v>
      </c>
      <c r="Q16" t="s">
        <v>32</v>
      </c>
      <c r="R16" t="s">
        <v>32</v>
      </c>
    </row>
    <row r="17" spans="1:18" x14ac:dyDescent="0.45">
      <c r="A17" t="s">
        <v>712</v>
      </c>
      <c r="B17" t="s">
        <v>2039</v>
      </c>
      <c r="C17" t="s">
        <v>2059</v>
      </c>
      <c r="D17" t="s">
        <v>2041</v>
      </c>
      <c r="E17" t="s">
        <v>771</v>
      </c>
      <c r="F17" t="s">
        <v>770</v>
      </c>
      <c r="G17" t="s">
        <v>22</v>
      </c>
      <c r="H17" t="s">
        <v>233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32</v>
      </c>
      <c r="Q17" t="s">
        <v>32</v>
      </c>
      <c r="R17" t="s">
        <v>33</v>
      </c>
    </row>
    <row r="18" spans="1:18" x14ac:dyDescent="0.45">
      <c r="A18" t="s">
        <v>712</v>
      </c>
      <c r="B18" t="s">
        <v>2039</v>
      </c>
      <c r="C18" t="s">
        <v>2059</v>
      </c>
      <c r="D18" t="s">
        <v>2041</v>
      </c>
      <c r="E18" t="s">
        <v>174</v>
      </c>
      <c r="F18" t="s">
        <v>817</v>
      </c>
      <c r="G18" t="s">
        <v>22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32</v>
      </c>
      <c r="Q18" t="s">
        <v>32</v>
      </c>
      <c r="R18" t="s">
        <v>33</v>
      </c>
    </row>
    <row r="19" spans="1:18" x14ac:dyDescent="0.45">
      <c r="A19" t="s">
        <v>712</v>
      </c>
      <c r="B19" t="s">
        <v>2039</v>
      </c>
      <c r="C19" t="s">
        <v>2059</v>
      </c>
      <c r="D19" t="s">
        <v>2041</v>
      </c>
      <c r="E19" t="s">
        <v>174</v>
      </c>
      <c r="F19" t="s">
        <v>817</v>
      </c>
      <c r="G19" t="s">
        <v>22</v>
      </c>
      <c r="H19" t="s">
        <v>25</v>
      </c>
      <c r="I19" t="s">
        <v>188</v>
      </c>
      <c r="J19" t="s">
        <v>189</v>
      </c>
      <c r="K19" t="s">
        <v>190</v>
      </c>
      <c r="L19" t="s">
        <v>29</v>
      </c>
      <c r="M19" t="s">
        <v>30</v>
      </c>
      <c r="N19" t="s">
        <v>31</v>
      </c>
      <c r="O19" t="s">
        <v>32</v>
      </c>
      <c r="P19" t="s">
        <v>32</v>
      </c>
      <c r="Q19" t="s">
        <v>32</v>
      </c>
      <c r="R19" t="s">
        <v>33</v>
      </c>
    </row>
    <row r="20" spans="1:18" x14ac:dyDescent="0.45">
      <c r="A20" t="s">
        <v>712</v>
      </c>
      <c r="B20" t="s">
        <v>2039</v>
      </c>
      <c r="C20" t="s">
        <v>2059</v>
      </c>
      <c r="D20" t="s">
        <v>2041</v>
      </c>
      <c r="E20" t="s">
        <v>237</v>
      </c>
      <c r="F20" t="s">
        <v>867</v>
      </c>
      <c r="G20" t="s">
        <v>59</v>
      </c>
      <c r="H20" t="s">
        <v>233</v>
      </c>
      <c r="I20" t="s">
        <v>188</v>
      </c>
      <c r="J20" t="s">
        <v>246</v>
      </c>
      <c r="K20" t="s">
        <v>1885</v>
      </c>
      <c r="L20" t="s">
        <v>274</v>
      </c>
      <c r="M20" t="s">
        <v>63</v>
      </c>
      <c r="N20" t="s">
        <v>64</v>
      </c>
      <c r="O20" t="s">
        <v>32</v>
      </c>
      <c r="P20" t="s">
        <v>246</v>
      </c>
      <c r="Q20" t="s">
        <v>247</v>
      </c>
      <c r="R20" t="s">
        <v>32</v>
      </c>
    </row>
    <row r="21" spans="1:18" x14ac:dyDescent="0.45">
      <c r="A21" t="s">
        <v>712</v>
      </c>
      <c r="B21" t="s">
        <v>2039</v>
      </c>
      <c r="C21" t="s">
        <v>2059</v>
      </c>
      <c r="D21" t="s">
        <v>2041</v>
      </c>
      <c r="E21" t="s">
        <v>97</v>
      </c>
      <c r="F21" t="s">
        <v>760</v>
      </c>
      <c r="G21" t="s">
        <v>22</v>
      </c>
      <c r="H21" t="s">
        <v>76</v>
      </c>
      <c r="I21" t="s">
        <v>188</v>
      </c>
      <c r="J21" t="s">
        <v>189</v>
      </c>
      <c r="K21" t="s">
        <v>190</v>
      </c>
      <c r="L21" t="s">
        <v>29</v>
      </c>
      <c r="M21" t="s">
        <v>30</v>
      </c>
      <c r="N21" t="s">
        <v>31</v>
      </c>
      <c r="O21" t="s">
        <v>32</v>
      </c>
      <c r="P21" t="s">
        <v>32</v>
      </c>
      <c r="Q21" t="s">
        <v>32</v>
      </c>
      <c r="R21" t="s">
        <v>33</v>
      </c>
    </row>
    <row r="22" spans="1:18" x14ac:dyDescent="0.45">
      <c r="A22" t="s">
        <v>712</v>
      </c>
      <c r="B22" t="s">
        <v>2039</v>
      </c>
      <c r="C22" t="s">
        <v>2059</v>
      </c>
      <c r="D22" t="s">
        <v>2041</v>
      </c>
      <c r="E22" t="s">
        <v>84</v>
      </c>
      <c r="F22" t="s">
        <v>751</v>
      </c>
      <c r="G22" t="s">
        <v>22</v>
      </c>
      <c r="H22" t="s">
        <v>85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32</v>
      </c>
      <c r="Q22" t="s">
        <v>32</v>
      </c>
      <c r="R22" t="s">
        <v>33</v>
      </c>
    </row>
    <row r="23" spans="1:18" x14ac:dyDescent="0.45">
      <c r="A23" t="s">
        <v>712</v>
      </c>
      <c r="B23" t="s">
        <v>2039</v>
      </c>
      <c r="C23" t="s">
        <v>2059</v>
      </c>
      <c r="D23" t="s">
        <v>2041</v>
      </c>
      <c r="E23" t="s">
        <v>142</v>
      </c>
      <c r="F23" t="s">
        <v>789</v>
      </c>
      <c r="G23" t="s">
        <v>22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32</v>
      </c>
      <c r="Q23" t="s">
        <v>32</v>
      </c>
      <c r="R23" t="s">
        <v>33</v>
      </c>
    </row>
    <row r="24" spans="1:18" x14ac:dyDescent="0.45">
      <c r="A24" t="s">
        <v>712</v>
      </c>
      <c r="B24" t="s">
        <v>2039</v>
      </c>
      <c r="C24" t="s">
        <v>2059</v>
      </c>
      <c r="D24" t="s">
        <v>2041</v>
      </c>
      <c r="E24" t="s">
        <v>93</v>
      </c>
      <c r="F24" t="s">
        <v>757</v>
      </c>
      <c r="G24" t="s">
        <v>22</v>
      </c>
      <c r="H24" t="s">
        <v>71</v>
      </c>
      <c r="I24" t="s">
        <v>188</v>
      </c>
      <c r="J24" t="s">
        <v>189</v>
      </c>
      <c r="K24" t="s">
        <v>190</v>
      </c>
      <c r="L24" t="s">
        <v>29</v>
      </c>
      <c r="M24" t="s">
        <v>30</v>
      </c>
      <c r="N24" t="s">
        <v>31</v>
      </c>
      <c r="O24" t="s">
        <v>32</v>
      </c>
      <c r="P24" t="s">
        <v>32</v>
      </c>
      <c r="Q24" t="s">
        <v>32</v>
      </c>
      <c r="R24" t="s">
        <v>33</v>
      </c>
    </row>
    <row r="25" spans="1:18" x14ac:dyDescent="0.45">
      <c r="A25" t="s">
        <v>712</v>
      </c>
      <c r="B25" t="s">
        <v>2039</v>
      </c>
      <c r="C25" t="s">
        <v>2059</v>
      </c>
      <c r="D25" t="s">
        <v>2041</v>
      </c>
      <c r="E25" t="s">
        <v>372</v>
      </c>
      <c r="F25" t="s">
        <v>975</v>
      </c>
      <c r="G25" t="s">
        <v>372</v>
      </c>
      <c r="H25" t="s">
        <v>56</v>
      </c>
      <c r="I25" t="s">
        <v>188</v>
      </c>
      <c r="J25" t="s">
        <v>189</v>
      </c>
      <c r="K25" t="s">
        <v>32</v>
      </c>
      <c r="L25" t="s">
        <v>374</v>
      </c>
      <c r="M25" t="s">
        <v>30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</row>
    <row r="26" spans="1:18" x14ac:dyDescent="0.45">
      <c r="A26" t="s">
        <v>712</v>
      </c>
      <c r="B26" t="s">
        <v>2039</v>
      </c>
      <c r="C26" t="s">
        <v>2059</v>
      </c>
      <c r="D26" t="s">
        <v>2041</v>
      </c>
      <c r="E26" t="s">
        <v>215</v>
      </c>
      <c r="F26" t="s">
        <v>847</v>
      </c>
      <c r="G26" t="s">
        <v>213</v>
      </c>
      <c r="H26" t="s">
        <v>76</v>
      </c>
      <c r="I26" t="s">
        <v>26</v>
      </c>
      <c r="J26" t="s">
        <v>27</v>
      </c>
      <c r="K26" t="s">
        <v>28</v>
      </c>
      <c r="L26" t="s">
        <v>216</v>
      </c>
      <c r="M26" t="s">
        <v>30</v>
      </c>
      <c r="N26" t="s">
        <v>31</v>
      </c>
      <c r="O26" t="s">
        <v>32</v>
      </c>
      <c r="P26" t="s">
        <v>32</v>
      </c>
      <c r="Q26" t="s">
        <v>32</v>
      </c>
      <c r="R26" t="s">
        <v>33</v>
      </c>
    </row>
    <row r="27" spans="1:18" x14ac:dyDescent="0.45">
      <c r="A27" t="s">
        <v>712</v>
      </c>
      <c r="B27" t="s">
        <v>2039</v>
      </c>
      <c r="C27" t="s">
        <v>2059</v>
      </c>
      <c r="D27" t="s">
        <v>2041</v>
      </c>
      <c r="E27" t="s">
        <v>987</v>
      </c>
      <c r="F27" t="s">
        <v>988</v>
      </c>
      <c r="G27" t="s">
        <v>987</v>
      </c>
      <c r="H27" t="s">
        <v>25</v>
      </c>
      <c r="I27" t="s">
        <v>26</v>
      </c>
      <c r="J27" t="s">
        <v>2013</v>
      </c>
      <c r="K27" t="s">
        <v>32</v>
      </c>
      <c r="L27" t="s">
        <v>2062</v>
      </c>
      <c r="M27" t="s">
        <v>30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</row>
    <row r="28" spans="1:18" x14ac:dyDescent="0.45">
      <c r="A28" t="s">
        <v>712</v>
      </c>
      <c r="B28" t="s">
        <v>2039</v>
      </c>
      <c r="C28" t="s">
        <v>2059</v>
      </c>
      <c r="D28" t="s">
        <v>2041</v>
      </c>
      <c r="E28" t="s">
        <v>959</v>
      </c>
      <c r="F28" t="s">
        <v>958</v>
      </c>
      <c r="G28" t="s">
        <v>661</v>
      </c>
      <c r="H28" t="s">
        <v>85</v>
      </c>
      <c r="I28" t="s">
        <v>26</v>
      </c>
      <c r="J28" t="s">
        <v>663</v>
      </c>
      <c r="K28" t="s">
        <v>28</v>
      </c>
      <c r="L28" t="s">
        <v>664</v>
      </c>
      <c r="M28" t="s">
        <v>30</v>
      </c>
      <c r="N28" t="s">
        <v>665</v>
      </c>
      <c r="O28" t="s">
        <v>64</v>
      </c>
      <c r="P28" t="s">
        <v>32</v>
      </c>
      <c r="Q28" t="s">
        <v>32</v>
      </c>
      <c r="R28" t="s">
        <v>33</v>
      </c>
    </row>
    <row r="29" spans="1:18" x14ac:dyDescent="0.45">
      <c r="A29" t="s">
        <v>712</v>
      </c>
      <c r="B29" t="s">
        <v>2039</v>
      </c>
      <c r="C29" t="s">
        <v>2059</v>
      </c>
      <c r="D29" t="s">
        <v>2041</v>
      </c>
      <c r="E29" t="s">
        <v>782</v>
      </c>
      <c r="F29" t="s">
        <v>781</v>
      </c>
      <c r="G29" t="s">
        <v>22</v>
      </c>
      <c r="H29" t="s">
        <v>25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32</v>
      </c>
      <c r="Q29" t="s">
        <v>32</v>
      </c>
      <c r="R29" t="s">
        <v>33</v>
      </c>
    </row>
    <row r="30" spans="1:18" x14ac:dyDescent="0.45">
      <c r="A30" t="s">
        <v>712</v>
      </c>
      <c r="B30" t="s">
        <v>2039</v>
      </c>
      <c r="C30" t="s">
        <v>2059</v>
      </c>
      <c r="D30" t="s">
        <v>2041</v>
      </c>
      <c r="E30" t="s">
        <v>860</v>
      </c>
      <c r="F30" t="s">
        <v>859</v>
      </c>
      <c r="G30" t="s">
        <v>22</v>
      </c>
      <c r="H30" t="s">
        <v>71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32</v>
      </c>
      <c r="Q30" t="s">
        <v>32</v>
      </c>
      <c r="R30" t="s">
        <v>33</v>
      </c>
    </row>
    <row r="31" spans="1:18" x14ac:dyDescent="0.45">
      <c r="A31" t="s">
        <v>712</v>
      </c>
      <c r="B31" t="s">
        <v>2039</v>
      </c>
      <c r="C31" t="s">
        <v>2059</v>
      </c>
      <c r="D31" t="s">
        <v>2041</v>
      </c>
      <c r="E31" t="s">
        <v>902</v>
      </c>
      <c r="F31" t="s">
        <v>901</v>
      </c>
      <c r="G31" t="s">
        <v>298</v>
      </c>
      <c r="H31" t="s">
        <v>85</v>
      </c>
      <c r="I31" t="s">
        <v>32</v>
      </c>
      <c r="J31" t="s">
        <v>32</v>
      </c>
      <c r="K31" t="s">
        <v>32</v>
      </c>
      <c r="L31" t="s">
        <v>32</v>
      </c>
      <c r="M31" t="s">
        <v>30</v>
      </c>
      <c r="N31" t="s">
        <v>2063</v>
      </c>
      <c r="O31" t="s">
        <v>32</v>
      </c>
      <c r="P31" t="s">
        <v>32</v>
      </c>
      <c r="Q31" t="s">
        <v>32</v>
      </c>
      <c r="R31" t="s">
        <v>32</v>
      </c>
    </row>
    <row r="32" spans="1:18" x14ac:dyDescent="0.45">
      <c r="A32" t="s">
        <v>712</v>
      </c>
      <c r="B32" t="s">
        <v>2039</v>
      </c>
      <c r="C32" t="s">
        <v>2059</v>
      </c>
      <c r="D32" t="s">
        <v>2041</v>
      </c>
      <c r="E32" t="s">
        <v>642</v>
      </c>
      <c r="F32" t="s">
        <v>914</v>
      </c>
      <c r="G32" t="s">
        <v>905</v>
      </c>
      <c r="H32" t="s">
        <v>85</v>
      </c>
      <c r="I32" t="s">
        <v>26</v>
      </c>
      <c r="J32" t="s">
        <v>2013</v>
      </c>
      <c r="K32" t="s">
        <v>32</v>
      </c>
      <c r="L32" t="s">
        <v>1912</v>
      </c>
      <c r="M32" t="s">
        <v>30</v>
      </c>
      <c r="N32" t="s">
        <v>642</v>
      </c>
      <c r="O32" t="s">
        <v>32</v>
      </c>
      <c r="P32" t="s">
        <v>2061</v>
      </c>
      <c r="Q32" t="s">
        <v>32</v>
      </c>
      <c r="R32" t="s">
        <v>32</v>
      </c>
    </row>
    <row r="33" spans="1:18" x14ac:dyDescent="0.45">
      <c r="A33" t="s">
        <v>712</v>
      </c>
      <c r="B33" t="s">
        <v>2039</v>
      </c>
      <c r="C33" t="s">
        <v>2059</v>
      </c>
      <c r="D33" t="s">
        <v>2041</v>
      </c>
      <c r="E33" t="s">
        <v>911</v>
      </c>
      <c r="F33" t="s">
        <v>910</v>
      </c>
      <c r="G33" t="s">
        <v>905</v>
      </c>
      <c r="H33" t="s">
        <v>85</v>
      </c>
      <c r="I33" t="s">
        <v>26</v>
      </c>
      <c r="J33" t="s">
        <v>2013</v>
      </c>
      <c r="K33" t="s">
        <v>32</v>
      </c>
      <c r="L33" t="s">
        <v>1912</v>
      </c>
      <c r="M33" t="s">
        <v>30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</row>
    <row r="34" spans="1:18" x14ac:dyDescent="0.45">
      <c r="A34" t="s">
        <v>712</v>
      </c>
      <c r="B34" t="s">
        <v>2039</v>
      </c>
      <c r="C34" t="s">
        <v>2059</v>
      </c>
      <c r="D34" t="s">
        <v>2041</v>
      </c>
      <c r="E34" t="s">
        <v>919</v>
      </c>
      <c r="F34" t="s">
        <v>918</v>
      </c>
      <c r="G34" t="s">
        <v>672</v>
      </c>
      <c r="H34" t="s">
        <v>85</v>
      </c>
      <c r="I34" t="s">
        <v>26</v>
      </c>
      <c r="J34" t="s">
        <v>2013</v>
      </c>
      <c r="K34" t="s">
        <v>32</v>
      </c>
      <c r="L34" t="s">
        <v>2058</v>
      </c>
      <c r="M34" t="s">
        <v>30</v>
      </c>
      <c r="N34" t="s">
        <v>1922</v>
      </c>
      <c r="O34" t="s">
        <v>32</v>
      </c>
      <c r="P34" t="s">
        <v>32</v>
      </c>
      <c r="Q34" t="s">
        <v>32</v>
      </c>
      <c r="R34" t="s">
        <v>32</v>
      </c>
    </row>
    <row r="35" spans="1:18" x14ac:dyDescent="0.45">
      <c r="A35" t="s">
        <v>712</v>
      </c>
      <c r="B35" t="s">
        <v>2039</v>
      </c>
      <c r="C35" t="s">
        <v>2059</v>
      </c>
      <c r="D35" t="s">
        <v>2041</v>
      </c>
      <c r="E35" t="s">
        <v>642</v>
      </c>
      <c r="F35" t="s">
        <v>914</v>
      </c>
      <c r="G35" t="s">
        <v>905</v>
      </c>
      <c r="H35" t="s">
        <v>85</v>
      </c>
      <c r="I35" t="s">
        <v>26</v>
      </c>
      <c r="J35" t="s">
        <v>2013</v>
      </c>
      <c r="K35" t="s">
        <v>32</v>
      </c>
      <c r="L35" t="s">
        <v>1912</v>
      </c>
      <c r="M35" t="s">
        <v>30</v>
      </c>
      <c r="N35" t="s">
        <v>642</v>
      </c>
      <c r="O35" t="s">
        <v>32</v>
      </c>
      <c r="P35" t="s">
        <v>2061</v>
      </c>
      <c r="Q35" t="s">
        <v>32</v>
      </c>
      <c r="R35" t="s">
        <v>32</v>
      </c>
    </row>
    <row r="36" spans="1:18" x14ac:dyDescent="0.45">
      <c r="A36" t="s">
        <v>712</v>
      </c>
      <c r="B36" t="s">
        <v>2039</v>
      </c>
      <c r="C36" t="s">
        <v>2059</v>
      </c>
      <c r="D36" t="s">
        <v>2041</v>
      </c>
      <c r="E36" t="s">
        <v>767</v>
      </c>
      <c r="F36" t="s">
        <v>766</v>
      </c>
      <c r="G36" t="s">
        <v>22</v>
      </c>
      <c r="H36" t="s">
        <v>76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32</v>
      </c>
      <c r="Q36" t="s">
        <v>32</v>
      </c>
      <c r="R36" t="s">
        <v>33</v>
      </c>
    </row>
    <row r="37" spans="1:18" x14ac:dyDescent="0.45">
      <c r="A37" t="s">
        <v>712</v>
      </c>
      <c r="B37" t="s">
        <v>2039</v>
      </c>
      <c r="C37" t="s">
        <v>2059</v>
      </c>
      <c r="D37" t="s">
        <v>2041</v>
      </c>
      <c r="E37" t="s">
        <v>38</v>
      </c>
      <c r="F37" t="s">
        <v>716</v>
      </c>
      <c r="G37" t="s">
        <v>22</v>
      </c>
      <c r="H37" t="s">
        <v>25</v>
      </c>
      <c r="I37" t="s">
        <v>26</v>
      </c>
      <c r="J37" t="s">
        <v>27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 t="s">
        <v>32</v>
      </c>
      <c r="Q37" t="s">
        <v>32</v>
      </c>
      <c r="R37" t="s">
        <v>33</v>
      </c>
    </row>
    <row r="38" spans="1:18" x14ac:dyDescent="0.45">
      <c r="A38" t="s">
        <v>712</v>
      </c>
      <c r="B38" t="s">
        <v>2039</v>
      </c>
      <c r="C38" t="s">
        <v>2059</v>
      </c>
      <c r="D38" t="s">
        <v>2041</v>
      </c>
      <c r="E38" t="s">
        <v>347</v>
      </c>
      <c r="F38" t="s">
        <v>937</v>
      </c>
      <c r="G38" t="s">
        <v>345</v>
      </c>
      <c r="H38" t="s">
        <v>85</v>
      </c>
      <c r="I38" t="s">
        <v>26</v>
      </c>
      <c r="J38" t="s">
        <v>2013</v>
      </c>
      <c r="K38" t="s">
        <v>32</v>
      </c>
      <c r="L38" t="s">
        <v>2064</v>
      </c>
      <c r="M38" t="s">
        <v>337</v>
      </c>
      <c r="N38" t="s">
        <v>1652</v>
      </c>
      <c r="O38" t="s">
        <v>1653</v>
      </c>
      <c r="P38" t="s">
        <v>32</v>
      </c>
      <c r="Q38" t="s">
        <v>32</v>
      </c>
      <c r="R38" t="s">
        <v>32</v>
      </c>
    </row>
    <row r="39" spans="1:18" x14ac:dyDescent="0.45">
      <c r="A39" t="s">
        <v>712</v>
      </c>
      <c r="B39" t="s">
        <v>2039</v>
      </c>
      <c r="C39" t="s">
        <v>2059</v>
      </c>
      <c r="D39" t="s">
        <v>2041</v>
      </c>
      <c r="E39" t="s">
        <v>844</v>
      </c>
      <c r="F39" t="s">
        <v>843</v>
      </c>
      <c r="G39" t="s">
        <v>22</v>
      </c>
      <c r="H39" t="s">
        <v>71</v>
      </c>
      <c r="I39" t="s">
        <v>188</v>
      </c>
      <c r="J39" t="s">
        <v>189</v>
      </c>
      <c r="K39" t="s">
        <v>190</v>
      </c>
      <c r="L39" t="s">
        <v>29</v>
      </c>
      <c r="M39" t="s">
        <v>30</v>
      </c>
      <c r="N39" t="s">
        <v>31</v>
      </c>
      <c r="O39" t="s">
        <v>32</v>
      </c>
      <c r="P39" t="s">
        <v>32</v>
      </c>
      <c r="Q39" t="s">
        <v>32</v>
      </c>
      <c r="R39" t="s">
        <v>33</v>
      </c>
    </row>
    <row r="40" spans="1:18" x14ac:dyDescent="0.45">
      <c r="A40" t="s">
        <v>712</v>
      </c>
      <c r="B40" t="s">
        <v>2039</v>
      </c>
      <c r="C40" t="s">
        <v>2059</v>
      </c>
      <c r="D40" t="s">
        <v>2041</v>
      </c>
      <c r="E40" t="s">
        <v>844</v>
      </c>
      <c r="F40" t="s">
        <v>843</v>
      </c>
      <c r="G40" t="s">
        <v>22</v>
      </c>
      <c r="H40" t="s">
        <v>71</v>
      </c>
      <c r="I40" t="s">
        <v>188</v>
      </c>
      <c r="J40" t="s">
        <v>189</v>
      </c>
      <c r="K40" t="s">
        <v>190</v>
      </c>
      <c r="L40" t="s">
        <v>29</v>
      </c>
      <c r="M40" t="s">
        <v>30</v>
      </c>
      <c r="N40" t="s">
        <v>31</v>
      </c>
      <c r="O40" t="s">
        <v>32</v>
      </c>
      <c r="P40" t="s">
        <v>32</v>
      </c>
      <c r="Q40" t="s">
        <v>32</v>
      </c>
      <c r="R40" t="s">
        <v>33</v>
      </c>
    </row>
    <row r="41" spans="1:18" x14ac:dyDescent="0.45">
      <c r="A41" t="s">
        <v>712</v>
      </c>
      <c r="B41" t="s">
        <v>2039</v>
      </c>
      <c r="C41" t="s">
        <v>2059</v>
      </c>
      <c r="D41" t="s">
        <v>2041</v>
      </c>
      <c r="E41" t="s">
        <v>75</v>
      </c>
      <c r="F41" t="s">
        <v>745</v>
      </c>
      <c r="G41" t="s">
        <v>22</v>
      </c>
      <c r="H41" t="s">
        <v>76</v>
      </c>
      <c r="I41" t="s">
        <v>188</v>
      </c>
      <c r="J41" t="s">
        <v>189</v>
      </c>
      <c r="K41" t="s">
        <v>190</v>
      </c>
      <c r="L41" t="s">
        <v>29</v>
      </c>
      <c r="M41" t="s">
        <v>30</v>
      </c>
      <c r="N41" t="s">
        <v>31</v>
      </c>
      <c r="O41" t="s">
        <v>32</v>
      </c>
      <c r="P41" t="s">
        <v>32</v>
      </c>
      <c r="Q41" t="s">
        <v>32</v>
      </c>
      <c r="R41" t="s">
        <v>33</v>
      </c>
    </row>
    <row r="42" spans="1:18" x14ac:dyDescent="0.45">
      <c r="A42" t="s">
        <v>712</v>
      </c>
      <c r="B42" t="s">
        <v>2039</v>
      </c>
      <c r="C42" t="s">
        <v>2059</v>
      </c>
      <c r="D42" t="s">
        <v>2041</v>
      </c>
      <c r="E42" t="s">
        <v>844</v>
      </c>
      <c r="F42" t="s">
        <v>843</v>
      </c>
      <c r="G42" t="s">
        <v>22</v>
      </c>
      <c r="H42" t="s">
        <v>71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32</v>
      </c>
      <c r="P42" t="s">
        <v>32</v>
      </c>
      <c r="Q42" t="s">
        <v>32</v>
      </c>
      <c r="R42" t="s">
        <v>33</v>
      </c>
    </row>
    <row r="43" spans="1:18" x14ac:dyDescent="0.45">
      <c r="A43" t="s">
        <v>712</v>
      </c>
      <c r="B43" t="s">
        <v>2039</v>
      </c>
      <c r="C43" t="s">
        <v>2059</v>
      </c>
      <c r="D43" t="s">
        <v>2041</v>
      </c>
      <c r="E43" t="s">
        <v>80</v>
      </c>
      <c r="F43" t="s">
        <v>748</v>
      </c>
      <c r="G43" t="s">
        <v>22</v>
      </c>
      <c r="H43" t="s">
        <v>71</v>
      </c>
      <c r="I43" t="s">
        <v>188</v>
      </c>
      <c r="J43" t="s">
        <v>189</v>
      </c>
      <c r="K43" t="s">
        <v>190</v>
      </c>
      <c r="L43" t="s">
        <v>29</v>
      </c>
      <c r="M43" t="s">
        <v>30</v>
      </c>
      <c r="N43" t="s">
        <v>31</v>
      </c>
      <c r="O43" t="s">
        <v>32</v>
      </c>
      <c r="P43" t="s">
        <v>32</v>
      </c>
      <c r="Q43" t="s">
        <v>32</v>
      </c>
      <c r="R43" t="s">
        <v>33</v>
      </c>
    </row>
    <row r="44" spans="1:18" x14ac:dyDescent="0.45">
      <c r="A44" t="s">
        <v>712</v>
      </c>
      <c r="B44" t="s">
        <v>2039</v>
      </c>
      <c r="C44" t="s">
        <v>2059</v>
      </c>
      <c r="D44" t="s">
        <v>2041</v>
      </c>
      <c r="E44" t="s">
        <v>215</v>
      </c>
      <c r="F44" t="s">
        <v>847</v>
      </c>
      <c r="G44" t="s">
        <v>213</v>
      </c>
      <c r="H44" t="s">
        <v>76</v>
      </c>
      <c r="I44" t="s">
        <v>26</v>
      </c>
      <c r="J44" t="s">
        <v>27</v>
      </c>
      <c r="K44" t="s">
        <v>28</v>
      </c>
      <c r="L44" t="s">
        <v>216</v>
      </c>
      <c r="M44" t="s">
        <v>30</v>
      </c>
      <c r="N44" t="s">
        <v>31</v>
      </c>
      <c r="O44" t="s">
        <v>32</v>
      </c>
      <c r="P44" t="s">
        <v>32</v>
      </c>
      <c r="Q44" t="s">
        <v>32</v>
      </c>
      <c r="R44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6"/>
  <sheetViews>
    <sheetView topLeftCell="B1" workbookViewId="0">
      <selection activeCell="A54" sqref="A54:XFD56"/>
    </sheetView>
  </sheetViews>
  <sheetFormatPr defaultRowHeight="14.25" x14ac:dyDescent="0.45"/>
  <cols>
    <col min="1" max="1" width="24.1328125" customWidth="1"/>
    <col min="2" max="2" width="20.265625" customWidth="1"/>
    <col min="3" max="3" width="15.59765625" bestFit="1" customWidth="1"/>
    <col min="4" max="4" width="18.73046875" bestFit="1" customWidth="1"/>
    <col min="5" max="5" width="25.1328125" bestFit="1" customWidth="1"/>
    <col min="6" max="6" width="13" customWidth="1"/>
    <col min="7" max="7" width="18.1328125" bestFit="1" customWidth="1"/>
    <col min="8" max="8" width="7.59765625" bestFit="1" customWidth="1"/>
    <col min="9" max="9" width="16.3984375" bestFit="1" customWidth="1"/>
    <col min="10" max="10" width="14.73046875" customWidth="1"/>
    <col min="11" max="11" width="11.73046875" customWidth="1"/>
    <col min="12" max="12" width="12.3984375" bestFit="1" customWidth="1"/>
    <col min="13" max="13" width="10.73046875" customWidth="1"/>
    <col min="14" max="14" width="15.1328125" bestFit="1" customWidth="1"/>
    <col min="15" max="15" width="12.86328125" bestFit="1" customWidth="1"/>
    <col min="16" max="16" width="20.73046875" bestFit="1" customWidth="1"/>
    <col min="17" max="17" width="19.3984375" bestFit="1" customWidth="1"/>
    <col min="18" max="18" width="10.86328125" bestFit="1" customWidth="1"/>
  </cols>
  <sheetData>
    <row r="1" spans="1:18" x14ac:dyDescent="0.45">
      <c r="A1" t="s">
        <v>0</v>
      </c>
      <c r="B1" t="s">
        <v>2036</v>
      </c>
      <c r="C1" t="s">
        <v>2037</v>
      </c>
      <c r="D1" t="s">
        <v>2038</v>
      </c>
      <c r="E1" t="s">
        <v>3</v>
      </c>
      <c r="F1" t="s">
        <v>2</v>
      </c>
      <c r="G1" t="s">
        <v>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45">
      <c r="A2" t="s">
        <v>21</v>
      </c>
      <c r="B2" t="s">
        <v>2065</v>
      </c>
      <c r="C2" t="s">
        <v>2066</v>
      </c>
      <c r="D2" t="s">
        <v>32</v>
      </c>
      <c r="E2" t="s">
        <v>106</v>
      </c>
      <c r="F2" t="s">
        <v>105</v>
      </c>
      <c r="G2" t="s">
        <v>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33</v>
      </c>
    </row>
    <row r="3" spans="1:18" x14ac:dyDescent="0.45">
      <c r="A3" t="s">
        <v>21</v>
      </c>
      <c r="B3" t="s">
        <v>2065</v>
      </c>
      <c r="C3" t="s">
        <v>2066</v>
      </c>
      <c r="D3" t="s">
        <v>32</v>
      </c>
      <c r="E3" t="s">
        <v>106</v>
      </c>
      <c r="F3" t="s">
        <v>105</v>
      </c>
      <c r="G3" t="s">
        <v>22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32</v>
      </c>
      <c r="Q3" t="s">
        <v>32</v>
      </c>
      <c r="R3" t="s">
        <v>33</v>
      </c>
    </row>
    <row r="4" spans="1:18" x14ac:dyDescent="0.45">
      <c r="A4" t="s">
        <v>21</v>
      </c>
      <c r="B4" t="s">
        <v>2065</v>
      </c>
      <c r="C4" t="s">
        <v>2066</v>
      </c>
      <c r="D4" t="s">
        <v>32</v>
      </c>
      <c r="E4" t="s">
        <v>106</v>
      </c>
      <c r="F4" t="s">
        <v>105</v>
      </c>
      <c r="G4" t="s">
        <v>22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32</v>
      </c>
      <c r="Q4" t="s">
        <v>32</v>
      </c>
      <c r="R4" t="s">
        <v>33</v>
      </c>
    </row>
    <row r="5" spans="1:18" x14ac:dyDescent="0.45">
      <c r="A5" t="s">
        <v>21</v>
      </c>
      <c r="B5" t="s">
        <v>2065</v>
      </c>
      <c r="C5" t="s">
        <v>2066</v>
      </c>
      <c r="D5" t="s">
        <v>32</v>
      </c>
      <c r="E5" t="s">
        <v>106</v>
      </c>
      <c r="F5" t="s">
        <v>105</v>
      </c>
      <c r="G5" t="s">
        <v>22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33</v>
      </c>
    </row>
    <row r="6" spans="1:18" x14ac:dyDescent="0.45">
      <c r="A6" t="s">
        <v>21</v>
      </c>
      <c r="B6" t="s">
        <v>2065</v>
      </c>
      <c r="C6" t="s">
        <v>2066</v>
      </c>
      <c r="D6" t="s">
        <v>32</v>
      </c>
      <c r="E6" t="s">
        <v>106</v>
      </c>
      <c r="F6" t="s">
        <v>105</v>
      </c>
      <c r="G6" t="s">
        <v>22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32</v>
      </c>
      <c r="Q6" t="s">
        <v>32</v>
      </c>
      <c r="R6" t="s">
        <v>33</v>
      </c>
    </row>
    <row r="7" spans="1:18" x14ac:dyDescent="0.45">
      <c r="A7" t="s">
        <v>21</v>
      </c>
      <c r="B7" t="s">
        <v>2065</v>
      </c>
      <c r="C7" t="s">
        <v>2066</v>
      </c>
      <c r="D7" t="s">
        <v>32</v>
      </c>
      <c r="E7" t="s">
        <v>106</v>
      </c>
      <c r="F7" t="s">
        <v>105</v>
      </c>
      <c r="G7" t="s">
        <v>22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32</v>
      </c>
      <c r="Q7" t="s">
        <v>32</v>
      </c>
      <c r="R7" t="s">
        <v>33</v>
      </c>
    </row>
    <row r="8" spans="1:18" x14ac:dyDescent="0.45">
      <c r="A8" t="s">
        <v>21</v>
      </c>
      <c r="B8" t="s">
        <v>2065</v>
      </c>
      <c r="C8" t="s">
        <v>2066</v>
      </c>
      <c r="D8" t="s">
        <v>32</v>
      </c>
      <c r="E8" t="s">
        <v>106</v>
      </c>
      <c r="F8" t="s">
        <v>105</v>
      </c>
      <c r="G8" t="s">
        <v>22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32</v>
      </c>
      <c r="Q8" t="s">
        <v>32</v>
      </c>
      <c r="R8" t="s">
        <v>33</v>
      </c>
    </row>
    <row r="9" spans="1:18" x14ac:dyDescent="0.45">
      <c r="A9" t="s">
        <v>21</v>
      </c>
      <c r="B9" t="s">
        <v>2065</v>
      </c>
      <c r="C9" t="s">
        <v>2066</v>
      </c>
      <c r="D9" t="s">
        <v>32</v>
      </c>
      <c r="E9" t="s">
        <v>106</v>
      </c>
      <c r="F9" t="s">
        <v>105</v>
      </c>
      <c r="G9" t="s">
        <v>22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32</v>
      </c>
      <c r="Q9" t="s">
        <v>32</v>
      </c>
      <c r="R9" t="s">
        <v>33</v>
      </c>
    </row>
    <row r="10" spans="1:18" x14ac:dyDescent="0.45">
      <c r="A10" t="s">
        <v>21</v>
      </c>
      <c r="B10" t="s">
        <v>2065</v>
      </c>
      <c r="C10" t="s">
        <v>2066</v>
      </c>
      <c r="D10" t="s">
        <v>32</v>
      </c>
      <c r="E10" t="s">
        <v>130</v>
      </c>
      <c r="F10" t="s">
        <v>129</v>
      </c>
      <c r="G10" t="s">
        <v>22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32</v>
      </c>
      <c r="Q10" t="s">
        <v>32</v>
      </c>
      <c r="R10" t="s">
        <v>33</v>
      </c>
    </row>
    <row r="11" spans="1:18" x14ac:dyDescent="0.45">
      <c r="A11" t="s">
        <v>21</v>
      </c>
      <c r="B11" t="s">
        <v>2065</v>
      </c>
      <c r="C11" t="s">
        <v>2066</v>
      </c>
      <c r="D11" t="s">
        <v>32</v>
      </c>
      <c r="E11" t="s">
        <v>130</v>
      </c>
      <c r="F11" t="s">
        <v>129</v>
      </c>
      <c r="G11" t="s">
        <v>22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32</v>
      </c>
      <c r="Q11" t="s">
        <v>32</v>
      </c>
      <c r="R11" t="s">
        <v>33</v>
      </c>
    </row>
    <row r="12" spans="1:18" x14ac:dyDescent="0.45">
      <c r="A12" t="s">
        <v>21</v>
      </c>
      <c r="B12" t="s">
        <v>2065</v>
      </c>
      <c r="C12" t="s">
        <v>2066</v>
      </c>
      <c r="D12" t="s">
        <v>32</v>
      </c>
      <c r="E12" t="s">
        <v>134</v>
      </c>
      <c r="F12" t="s">
        <v>133</v>
      </c>
      <c r="G12" t="s">
        <v>22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32</v>
      </c>
      <c r="Q12" t="s">
        <v>32</v>
      </c>
      <c r="R12" t="s">
        <v>33</v>
      </c>
    </row>
    <row r="13" spans="1:18" x14ac:dyDescent="0.45">
      <c r="A13" t="s">
        <v>21</v>
      </c>
      <c r="B13" t="s">
        <v>2065</v>
      </c>
      <c r="C13" t="s">
        <v>2066</v>
      </c>
      <c r="D13" t="s">
        <v>32</v>
      </c>
      <c r="E13" t="s">
        <v>330</v>
      </c>
      <c r="F13" t="s">
        <v>329</v>
      </c>
      <c r="G13" t="s">
        <v>309</v>
      </c>
      <c r="H13" t="s">
        <v>187</v>
      </c>
      <c r="I13" t="s">
        <v>26</v>
      </c>
      <c r="J13" t="s">
        <v>2013</v>
      </c>
      <c r="K13" t="s">
        <v>32</v>
      </c>
      <c r="L13" t="s">
        <v>1726</v>
      </c>
      <c r="M13" t="s">
        <v>30</v>
      </c>
      <c r="N13" t="s">
        <v>331</v>
      </c>
      <c r="O13" t="s">
        <v>32</v>
      </c>
      <c r="P13" t="s">
        <v>32</v>
      </c>
      <c r="Q13" t="s">
        <v>32</v>
      </c>
      <c r="R13" t="s">
        <v>32</v>
      </c>
    </row>
    <row r="14" spans="1:18" x14ac:dyDescent="0.45">
      <c r="A14" t="s">
        <v>21</v>
      </c>
      <c r="B14" t="s">
        <v>2065</v>
      </c>
      <c r="C14" t="s">
        <v>2066</v>
      </c>
      <c r="D14" t="s">
        <v>32</v>
      </c>
      <c r="E14" t="s">
        <v>138</v>
      </c>
      <c r="F14" t="s">
        <v>137</v>
      </c>
      <c r="G14" t="s">
        <v>22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32</v>
      </c>
      <c r="Q14" t="s">
        <v>32</v>
      </c>
      <c r="R14" t="s">
        <v>33</v>
      </c>
    </row>
    <row r="15" spans="1:18" x14ac:dyDescent="0.45">
      <c r="A15" t="s">
        <v>21</v>
      </c>
      <c r="B15" t="s">
        <v>2065</v>
      </c>
      <c r="C15" t="s">
        <v>2066</v>
      </c>
      <c r="D15" t="s">
        <v>32</v>
      </c>
      <c r="E15" t="s">
        <v>178</v>
      </c>
      <c r="F15" t="s">
        <v>177</v>
      </c>
      <c r="G15" t="s">
        <v>22</v>
      </c>
      <c r="H15" t="s">
        <v>25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32</v>
      </c>
      <c r="Q15" t="s">
        <v>32</v>
      </c>
      <c r="R15" t="s">
        <v>33</v>
      </c>
    </row>
    <row r="16" spans="1:18" x14ac:dyDescent="0.45">
      <c r="A16" t="s">
        <v>21</v>
      </c>
      <c r="B16" t="s">
        <v>2065</v>
      </c>
      <c r="C16" t="s">
        <v>2066</v>
      </c>
      <c r="D16" t="s">
        <v>32</v>
      </c>
      <c r="E16" t="s">
        <v>178</v>
      </c>
      <c r="F16" t="s">
        <v>177</v>
      </c>
      <c r="G16" t="s">
        <v>22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32</v>
      </c>
      <c r="Q16" t="s">
        <v>32</v>
      </c>
      <c r="R16" t="s">
        <v>33</v>
      </c>
    </row>
    <row r="17" spans="1:18" x14ac:dyDescent="0.45">
      <c r="A17" t="s">
        <v>21</v>
      </c>
      <c r="B17" t="s">
        <v>2065</v>
      </c>
      <c r="C17" t="s">
        <v>2066</v>
      </c>
      <c r="D17" t="s">
        <v>32</v>
      </c>
      <c r="E17" t="s">
        <v>178</v>
      </c>
      <c r="F17" t="s">
        <v>177</v>
      </c>
      <c r="G17" t="s">
        <v>22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32</v>
      </c>
      <c r="Q17" t="s">
        <v>32</v>
      </c>
      <c r="R17" t="s">
        <v>33</v>
      </c>
    </row>
    <row r="18" spans="1:18" x14ac:dyDescent="0.45">
      <c r="A18" t="s">
        <v>21</v>
      </c>
      <c r="B18" t="s">
        <v>2065</v>
      </c>
      <c r="C18" t="s">
        <v>2066</v>
      </c>
      <c r="D18" t="s">
        <v>32</v>
      </c>
      <c r="E18" t="s">
        <v>178</v>
      </c>
      <c r="F18" t="s">
        <v>177</v>
      </c>
      <c r="G18" t="s">
        <v>22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32</v>
      </c>
      <c r="Q18" t="s">
        <v>32</v>
      </c>
      <c r="R18" t="s">
        <v>33</v>
      </c>
    </row>
    <row r="19" spans="1:18" x14ac:dyDescent="0.45">
      <c r="A19" t="s">
        <v>21</v>
      </c>
      <c r="B19" t="s">
        <v>2065</v>
      </c>
      <c r="C19" t="s">
        <v>2066</v>
      </c>
      <c r="D19" t="s">
        <v>32</v>
      </c>
      <c r="E19" t="s">
        <v>178</v>
      </c>
      <c r="F19" t="s">
        <v>177</v>
      </c>
      <c r="G19" t="s">
        <v>22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32</v>
      </c>
      <c r="Q19" t="s">
        <v>32</v>
      </c>
      <c r="R19" t="s">
        <v>33</v>
      </c>
    </row>
    <row r="20" spans="1:18" x14ac:dyDescent="0.45">
      <c r="A20" t="s">
        <v>21</v>
      </c>
      <c r="B20" t="s">
        <v>2065</v>
      </c>
      <c r="C20" t="s">
        <v>2066</v>
      </c>
      <c r="D20" t="s">
        <v>32</v>
      </c>
      <c r="E20" t="s">
        <v>178</v>
      </c>
      <c r="F20" t="s">
        <v>177</v>
      </c>
      <c r="G20" t="s">
        <v>22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32</v>
      </c>
      <c r="Q20" t="s">
        <v>32</v>
      </c>
      <c r="R20" t="s">
        <v>33</v>
      </c>
    </row>
    <row r="21" spans="1:18" x14ac:dyDescent="0.45">
      <c r="A21" t="s">
        <v>21</v>
      </c>
      <c r="B21" t="s">
        <v>2065</v>
      </c>
      <c r="C21" t="s">
        <v>2066</v>
      </c>
      <c r="D21" t="s">
        <v>32</v>
      </c>
      <c r="E21" t="s">
        <v>134</v>
      </c>
      <c r="F21" t="s">
        <v>133</v>
      </c>
      <c r="G21" t="s">
        <v>22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 t="s">
        <v>32</v>
      </c>
      <c r="Q21" t="s">
        <v>32</v>
      </c>
      <c r="R21" t="s">
        <v>33</v>
      </c>
    </row>
    <row r="22" spans="1:18" x14ac:dyDescent="0.45">
      <c r="A22" t="s">
        <v>21</v>
      </c>
      <c r="B22" t="s">
        <v>2065</v>
      </c>
      <c r="C22" t="s">
        <v>2066</v>
      </c>
      <c r="D22" t="s">
        <v>32</v>
      </c>
      <c r="E22" t="s">
        <v>224</v>
      </c>
      <c r="F22" t="s">
        <v>223</v>
      </c>
      <c r="G22" t="s">
        <v>213</v>
      </c>
      <c r="H22" t="s">
        <v>25</v>
      </c>
      <c r="I22" t="s">
        <v>26</v>
      </c>
      <c r="J22" t="s">
        <v>27</v>
      </c>
      <c r="K22" t="s">
        <v>28</v>
      </c>
      <c r="L22" t="s">
        <v>861</v>
      </c>
      <c r="M22" t="s">
        <v>30</v>
      </c>
      <c r="N22" t="s">
        <v>31</v>
      </c>
      <c r="O22" t="s">
        <v>32</v>
      </c>
      <c r="P22" t="s">
        <v>32</v>
      </c>
      <c r="Q22" t="s">
        <v>32</v>
      </c>
      <c r="R22" t="s">
        <v>33</v>
      </c>
    </row>
    <row r="23" spans="1:18" x14ac:dyDescent="0.45">
      <c r="A23" t="s">
        <v>21</v>
      </c>
      <c r="B23" t="s">
        <v>2065</v>
      </c>
      <c r="C23" t="s">
        <v>2066</v>
      </c>
      <c r="D23" t="s">
        <v>32</v>
      </c>
      <c r="E23" t="s">
        <v>114</v>
      </c>
      <c r="F23" t="s">
        <v>113</v>
      </c>
      <c r="G23" t="s">
        <v>22</v>
      </c>
      <c r="H23" t="s">
        <v>56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32</v>
      </c>
      <c r="Q23" t="s">
        <v>32</v>
      </c>
      <c r="R23" t="s">
        <v>33</v>
      </c>
    </row>
    <row r="24" spans="1:18" x14ac:dyDescent="0.45">
      <c r="A24" t="s">
        <v>21</v>
      </c>
      <c r="B24" t="s">
        <v>2065</v>
      </c>
      <c r="C24" t="s">
        <v>2066</v>
      </c>
      <c r="D24" t="s">
        <v>32</v>
      </c>
      <c r="E24" t="s">
        <v>202</v>
      </c>
      <c r="F24" t="s">
        <v>201</v>
      </c>
      <c r="G24" t="s">
        <v>22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32</v>
      </c>
      <c r="Q24" t="s">
        <v>32</v>
      </c>
      <c r="R24" t="s">
        <v>33</v>
      </c>
    </row>
    <row r="25" spans="1:18" x14ac:dyDescent="0.45">
      <c r="A25" t="s">
        <v>21</v>
      </c>
      <c r="B25" t="s">
        <v>2065</v>
      </c>
      <c r="C25" t="s">
        <v>2066</v>
      </c>
      <c r="D25" t="s">
        <v>32</v>
      </c>
      <c r="E25" t="s">
        <v>122</v>
      </c>
      <c r="F25" t="s">
        <v>121</v>
      </c>
      <c r="G25" t="s">
        <v>22</v>
      </c>
      <c r="H25" t="s">
        <v>25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 t="s">
        <v>32</v>
      </c>
      <c r="Q25" t="s">
        <v>32</v>
      </c>
      <c r="R25" t="s">
        <v>33</v>
      </c>
    </row>
    <row r="26" spans="1:18" x14ac:dyDescent="0.45">
      <c r="A26" t="s">
        <v>21</v>
      </c>
      <c r="B26" t="s">
        <v>2065</v>
      </c>
      <c r="C26" t="s">
        <v>2066</v>
      </c>
      <c r="D26" t="s">
        <v>32</v>
      </c>
      <c r="E26" t="s">
        <v>122</v>
      </c>
      <c r="F26" t="s">
        <v>121</v>
      </c>
      <c r="G26" t="s">
        <v>22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32</v>
      </c>
      <c r="Q26" t="s">
        <v>32</v>
      </c>
      <c r="R26" t="s">
        <v>33</v>
      </c>
    </row>
    <row r="27" spans="1:18" x14ac:dyDescent="0.45">
      <c r="A27" t="s">
        <v>21</v>
      </c>
      <c r="B27" t="s">
        <v>2065</v>
      </c>
      <c r="C27" t="s">
        <v>2066</v>
      </c>
      <c r="D27" t="s">
        <v>32</v>
      </c>
      <c r="E27" t="s">
        <v>194</v>
      </c>
      <c r="F27" t="s">
        <v>193</v>
      </c>
      <c r="G27" t="s">
        <v>22</v>
      </c>
      <c r="H27" t="s">
        <v>56</v>
      </c>
      <c r="I27" t="s">
        <v>188</v>
      </c>
      <c r="J27" t="s">
        <v>189</v>
      </c>
      <c r="K27" t="s">
        <v>190</v>
      </c>
      <c r="L27" t="s">
        <v>29</v>
      </c>
      <c r="M27" t="s">
        <v>30</v>
      </c>
      <c r="N27" t="s">
        <v>31</v>
      </c>
      <c r="O27" t="s">
        <v>32</v>
      </c>
      <c r="P27" t="s">
        <v>32</v>
      </c>
      <c r="Q27" t="s">
        <v>32</v>
      </c>
      <c r="R27" t="s">
        <v>33</v>
      </c>
    </row>
    <row r="28" spans="1:18" x14ac:dyDescent="0.45">
      <c r="A28" t="s">
        <v>21</v>
      </c>
      <c r="B28" t="s">
        <v>2065</v>
      </c>
      <c r="C28" t="s">
        <v>2066</v>
      </c>
      <c r="D28" t="s">
        <v>32</v>
      </c>
      <c r="E28" t="s">
        <v>198</v>
      </c>
      <c r="F28" t="s">
        <v>197</v>
      </c>
      <c r="G28" t="s">
        <v>22</v>
      </c>
      <c r="H28" t="s">
        <v>56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32</v>
      </c>
      <c r="Q28" t="s">
        <v>32</v>
      </c>
      <c r="R28" t="s">
        <v>33</v>
      </c>
    </row>
    <row r="29" spans="1:18" x14ac:dyDescent="0.45">
      <c r="A29" t="s">
        <v>21</v>
      </c>
      <c r="B29" t="s">
        <v>2065</v>
      </c>
      <c r="C29" t="s">
        <v>2066</v>
      </c>
      <c r="D29" t="s">
        <v>32</v>
      </c>
      <c r="E29" t="s">
        <v>43</v>
      </c>
      <c r="F29" t="s">
        <v>42</v>
      </c>
      <c r="G29" t="s">
        <v>22</v>
      </c>
      <c r="H29" t="s">
        <v>25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32</v>
      </c>
      <c r="Q29" t="s">
        <v>32</v>
      </c>
      <c r="R29" t="s">
        <v>33</v>
      </c>
    </row>
    <row r="30" spans="1:18" x14ac:dyDescent="0.45">
      <c r="A30" t="s">
        <v>21</v>
      </c>
      <c r="B30" t="s">
        <v>2065</v>
      </c>
      <c r="C30" t="s">
        <v>2066</v>
      </c>
      <c r="D30" t="s">
        <v>32</v>
      </c>
      <c r="E30" t="s">
        <v>43</v>
      </c>
      <c r="F30" t="s">
        <v>42</v>
      </c>
      <c r="G30" t="s">
        <v>22</v>
      </c>
      <c r="H30" t="s">
        <v>25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32</v>
      </c>
      <c r="Q30" t="s">
        <v>32</v>
      </c>
      <c r="R30" t="s">
        <v>33</v>
      </c>
    </row>
    <row r="31" spans="1:18" x14ac:dyDescent="0.45">
      <c r="A31" t="s">
        <v>21</v>
      </c>
      <c r="B31" t="s">
        <v>2065</v>
      </c>
      <c r="C31" t="s">
        <v>2066</v>
      </c>
      <c r="D31" t="s">
        <v>32</v>
      </c>
      <c r="E31" t="s">
        <v>43</v>
      </c>
      <c r="F31" t="s">
        <v>42</v>
      </c>
      <c r="G31" t="s">
        <v>22</v>
      </c>
      <c r="H31" t="s">
        <v>25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32</v>
      </c>
      <c r="Q31" t="s">
        <v>32</v>
      </c>
      <c r="R31" t="s">
        <v>33</v>
      </c>
    </row>
    <row r="32" spans="1:18" x14ac:dyDescent="0.45">
      <c r="A32" t="s">
        <v>21</v>
      </c>
      <c r="B32" t="s">
        <v>2065</v>
      </c>
      <c r="C32" t="s">
        <v>2066</v>
      </c>
      <c r="D32" t="s">
        <v>32</v>
      </c>
      <c r="E32" t="s">
        <v>43</v>
      </c>
      <c r="F32" t="s">
        <v>42</v>
      </c>
      <c r="G32" t="s">
        <v>22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32</v>
      </c>
      <c r="Q32" t="s">
        <v>32</v>
      </c>
      <c r="R32" t="s">
        <v>33</v>
      </c>
    </row>
    <row r="33" spans="1:18" x14ac:dyDescent="0.45">
      <c r="A33" t="s">
        <v>21</v>
      </c>
      <c r="B33" t="s">
        <v>2065</v>
      </c>
      <c r="C33" t="s">
        <v>2066</v>
      </c>
      <c r="D33" t="s">
        <v>32</v>
      </c>
      <c r="E33" t="s">
        <v>43</v>
      </c>
      <c r="F33" t="s">
        <v>42</v>
      </c>
      <c r="G33" t="s">
        <v>22</v>
      </c>
      <c r="H33" t="s">
        <v>25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 t="s">
        <v>32</v>
      </c>
      <c r="Q33" t="s">
        <v>32</v>
      </c>
      <c r="R33" t="s">
        <v>33</v>
      </c>
    </row>
    <row r="34" spans="1:18" x14ac:dyDescent="0.45">
      <c r="A34" t="s">
        <v>21</v>
      </c>
      <c r="B34" t="s">
        <v>2065</v>
      </c>
      <c r="C34" t="s">
        <v>2066</v>
      </c>
      <c r="D34" t="s">
        <v>32</v>
      </c>
      <c r="E34" t="s">
        <v>24</v>
      </c>
      <c r="F34" t="s">
        <v>23</v>
      </c>
      <c r="G34" t="s">
        <v>22</v>
      </c>
      <c r="H34" t="s">
        <v>25</v>
      </c>
      <c r="I34" t="s">
        <v>26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 t="s">
        <v>32</v>
      </c>
      <c r="Q34" t="s">
        <v>32</v>
      </c>
      <c r="R34" t="s">
        <v>33</v>
      </c>
    </row>
    <row r="35" spans="1:18" x14ac:dyDescent="0.45">
      <c r="A35" t="s">
        <v>21</v>
      </c>
      <c r="B35" t="s">
        <v>2065</v>
      </c>
      <c r="C35" t="s">
        <v>2066</v>
      </c>
      <c r="D35" t="s">
        <v>32</v>
      </c>
      <c r="E35" t="s">
        <v>75</v>
      </c>
      <c r="F35" t="s">
        <v>74</v>
      </c>
      <c r="G35" t="s">
        <v>22</v>
      </c>
      <c r="H35" t="s">
        <v>76</v>
      </c>
      <c r="I35" t="s">
        <v>188</v>
      </c>
      <c r="J35" t="s">
        <v>189</v>
      </c>
      <c r="K35" t="s">
        <v>190</v>
      </c>
      <c r="L35" t="s">
        <v>29</v>
      </c>
      <c r="M35" t="s">
        <v>30</v>
      </c>
      <c r="N35" t="s">
        <v>31</v>
      </c>
      <c r="O35" t="s">
        <v>32</v>
      </c>
      <c r="P35" t="s">
        <v>32</v>
      </c>
      <c r="Q35" t="s">
        <v>32</v>
      </c>
      <c r="R35" t="s">
        <v>33</v>
      </c>
    </row>
    <row r="36" spans="1:18" x14ac:dyDescent="0.45">
      <c r="A36" t="s">
        <v>21</v>
      </c>
      <c r="B36" t="s">
        <v>2065</v>
      </c>
      <c r="C36" t="s">
        <v>2066</v>
      </c>
      <c r="D36" t="s">
        <v>32</v>
      </c>
      <c r="E36" t="s">
        <v>80</v>
      </c>
      <c r="F36" t="s">
        <v>79</v>
      </c>
      <c r="G36" t="s">
        <v>22</v>
      </c>
      <c r="H36" t="s">
        <v>71</v>
      </c>
      <c r="I36" t="s">
        <v>188</v>
      </c>
      <c r="J36" t="s">
        <v>189</v>
      </c>
      <c r="K36" t="s">
        <v>190</v>
      </c>
      <c r="L36" t="s">
        <v>29</v>
      </c>
      <c r="M36" t="s">
        <v>30</v>
      </c>
      <c r="N36" t="s">
        <v>31</v>
      </c>
      <c r="O36" t="s">
        <v>32</v>
      </c>
      <c r="P36" t="s">
        <v>32</v>
      </c>
      <c r="Q36" t="s">
        <v>32</v>
      </c>
      <c r="R36" t="s">
        <v>33</v>
      </c>
    </row>
    <row r="37" spans="1:18" x14ac:dyDescent="0.45">
      <c r="A37" t="s">
        <v>21</v>
      </c>
      <c r="B37" t="s">
        <v>2065</v>
      </c>
      <c r="C37" t="s">
        <v>2066</v>
      </c>
      <c r="D37" t="s">
        <v>32</v>
      </c>
      <c r="E37" t="s">
        <v>202</v>
      </c>
      <c r="F37" t="s">
        <v>201</v>
      </c>
      <c r="G37" t="s">
        <v>22</v>
      </c>
      <c r="H37" t="s">
        <v>25</v>
      </c>
      <c r="I37" t="s">
        <v>188</v>
      </c>
      <c r="J37" t="s">
        <v>189</v>
      </c>
      <c r="K37" t="s">
        <v>190</v>
      </c>
      <c r="L37" t="s">
        <v>29</v>
      </c>
      <c r="M37" t="s">
        <v>30</v>
      </c>
      <c r="N37" t="s">
        <v>31</v>
      </c>
      <c r="O37" t="s">
        <v>32</v>
      </c>
      <c r="P37" t="s">
        <v>32</v>
      </c>
      <c r="Q37" t="s">
        <v>32</v>
      </c>
      <c r="R37" t="s">
        <v>33</v>
      </c>
    </row>
    <row r="38" spans="1:18" x14ac:dyDescent="0.45">
      <c r="A38" t="s">
        <v>21</v>
      </c>
      <c r="B38" t="s">
        <v>2065</v>
      </c>
      <c r="C38" t="s">
        <v>2066</v>
      </c>
      <c r="D38" t="s">
        <v>32</v>
      </c>
      <c r="E38" t="s">
        <v>118</v>
      </c>
      <c r="F38" t="s">
        <v>117</v>
      </c>
      <c r="G38" t="s">
        <v>22</v>
      </c>
      <c r="H38" t="s">
        <v>71</v>
      </c>
      <c r="I38" t="s">
        <v>188</v>
      </c>
      <c r="J38" t="s">
        <v>189</v>
      </c>
      <c r="K38" t="s">
        <v>190</v>
      </c>
      <c r="L38" t="s">
        <v>29</v>
      </c>
      <c r="M38" t="s">
        <v>30</v>
      </c>
      <c r="N38" t="s">
        <v>31</v>
      </c>
      <c r="O38" t="s">
        <v>32</v>
      </c>
      <c r="P38" t="s">
        <v>32</v>
      </c>
      <c r="Q38" t="s">
        <v>32</v>
      </c>
      <c r="R38" t="s">
        <v>33</v>
      </c>
    </row>
    <row r="39" spans="1:18" x14ac:dyDescent="0.45">
      <c r="A39" t="s">
        <v>21</v>
      </c>
      <c r="B39" t="s">
        <v>2065</v>
      </c>
      <c r="C39" t="s">
        <v>2066</v>
      </c>
      <c r="D39" t="s">
        <v>32</v>
      </c>
      <c r="E39" t="s">
        <v>372</v>
      </c>
      <c r="F39" t="s">
        <v>373</v>
      </c>
      <c r="G39" t="s">
        <v>372</v>
      </c>
      <c r="H39" t="s">
        <v>56</v>
      </c>
      <c r="I39" t="s">
        <v>188</v>
      </c>
      <c r="J39" t="s">
        <v>32</v>
      </c>
      <c r="K39" t="s">
        <v>32</v>
      </c>
      <c r="L39" t="s">
        <v>374</v>
      </c>
      <c r="M39" t="s">
        <v>30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</row>
    <row r="40" spans="1:18" x14ac:dyDescent="0.45">
      <c r="A40" t="s">
        <v>21</v>
      </c>
      <c r="B40" t="s">
        <v>2065</v>
      </c>
      <c r="C40" t="s">
        <v>2066</v>
      </c>
      <c r="D40" t="s">
        <v>32</v>
      </c>
      <c r="E40" t="s">
        <v>228</v>
      </c>
      <c r="F40" t="s">
        <v>227</v>
      </c>
      <c r="G40" t="s">
        <v>22</v>
      </c>
      <c r="H40" t="s">
        <v>102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t="s">
        <v>32</v>
      </c>
      <c r="P40" t="s">
        <v>32</v>
      </c>
      <c r="Q40" t="s">
        <v>32</v>
      </c>
      <c r="R40" t="s">
        <v>33</v>
      </c>
    </row>
    <row r="41" spans="1:18" x14ac:dyDescent="0.45">
      <c r="A41" t="s">
        <v>21</v>
      </c>
      <c r="B41" t="s">
        <v>2065</v>
      </c>
      <c r="C41" t="s">
        <v>2066</v>
      </c>
      <c r="D41" t="s">
        <v>32</v>
      </c>
      <c r="E41" t="s">
        <v>146</v>
      </c>
      <c r="F41" t="s">
        <v>145</v>
      </c>
      <c r="G41" t="s">
        <v>22</v>
      </c>
      <c r="H41" t="s">
        <v>56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t="s">
        <v>32</v>
      </c>
      <c r="P41" t="s">
        <v>32</v>
      </c>
      <c r="Q41" t="s">
        <v>32</v>
      </c>
      <c r="R41" t="s">
        <v>33</v>
      </c>
    </row>
    <row r="42" spans="1:18" x14ac:dyDescent="0.45">
      <c r="A42" t="s">
        <v>21</v>
      </c>
      <c r="B42" t="s">
        <v>2065</v>
      </c>
      <c r="C42" t="s">
        <v>2066</v>
      </c>
      <c r="D42" t="s">
        <v>32</v>
      </c>
      <c r="E42" t="s">
        <v>237</v>
      </c>
      <c r="F42" t="s">
        <v>236</v>
      </c>
      <c r="G42" t="s">
        <v>59</v>
      </c>
      <c r="H42" t="s">
        <v>233</v>
      </c>
      <c r="I42" t="s">
        <v>188</v>
      </c>
      <c r="J42" t="s">
        <v>246</v>
      </c>
      <c r="K42" t="s">
        <v>32</v>
      </c>
      <c r="L42" t="s">
        <v>2067</v>
      </c>
      <c r="M42" t="s">
        <v>63</v>
      </c>
      <c r="N42" t="s">
        <v>64</v>
      </c>
      <c r="O42" t="s">
        <v>32</v>
      </c>
      <c r="P42" t="s">
        <v>246</v>
      </c>
      <c r="Q42" t="s">
        <v>247</v>
      </c>
      <c r="R42" t="s">
        <v>32</v>
      </c>
    </row>
    <row r="43" spans="1:18" x14ac:dyDescent="0.45">
      <c r="A43" t="s">
        <v>21</v>
      </c>
      <c r="B43" t="s">
        <v>2065</v>
      </c>
      <c r="C43" t="s">
        <v>2066</v>
      </c>
      <c r="D43" t="s">
        <v>32</v>
      </c>
      <c r="E43" t="s">
        <v>97</v>
      </c>
      <c r="F43" t="s">
        <v>96</v>
      </c>
      <c r="G43" t="s">
        <v>22</v>
      </c>
      <c r="H43" t="s">
        <v>76</v>
      </c>
      <c r="I43" t="s">
        <v>188</v>
      </c>
      <c r="J43" t="s">
        <v>189</v>
      </c>
      <c r="K43" t="s">
        <v>190</v>
      </c>
      <c r="L43" t="s">
        <v>29</v>
      </c>
      <c r="M43" t="s">
        <v>30</v>
      </c>
      <c r="N43" t="s">
        <v>31</v>
      </c>
      <c r="O43" t="s">
        <v>32</v>
      </c>
      <c r="P43" t="s">
        <v>32</v>
      </c>
      <c r="Q43" t="s">
        <v>32</v>
      </c>
      <c r="R43" t="s">
        <v>33</v>
      </c>
    </row>
    <row r="44" spans="1:18" x14ac:dyDescent="0.45">
      <c r="A44" t="s">
        <v>21</v>
      </c>
      <c r="B44" t="s">
        <v>2065</v>
      </c>
      <c r="C44" t="s">
        <v>2066</v>
      </c>
      <c r="D44" t="s">
        <v>32</v>
      </c>
      <c r="E44" t="s">
        <v>174</v>
      </c>
      <c r="F44" t="s">
        <v>173</v>
      </c>
      <c r="G44" t="s">
        <v>22</v>
      </c>
      <c r="H44" t="s">
        <v>25</v>
      </c>
      <c r="I44" t="s">
        <v>188</v>
      </c>
      <c r="J44" t="s">
        <v>189</v>
      </c>
      <c r="K44" t="s">
        <v>190</v>
      </c>
      <c r="L44" t="s">
        <v>29</v>
      </c>
      <c r="M44" t="s">
        <v>30</v>
      </c>
      <c r="N44" t="s">
        <v>31</v>
      </c>
      <c r="O44" t="s">
        <v>32</v>
      </c>
      <c r="P44" t="s">
        <v>32</v>
      </c>
      <c r="Q44" t="s">
        <v>32</v>
      </c>
      <c r="R44" t="s">
        <v>33</v>
      </c>
    </row>
    <row r="45" spans="1:18" x14ac:dyDescent="0.45">
      <c r="A45" t="s">
        <v>21</v>
      </c>
      <c r="B45" t="s">
        <v>2065</v>
      </c>
      <c r="C45" t="s">
        <v>2066</v>
      </c>
      <c r="D45" t="s">
        <v>32</v>
      </c>
      <c r="E45" t="s">
        <v>174</v>
      </c>
      <c r="F45" t="s">
        <v>173</v>
      </c>
      <c r="G45" t="s">
        <v>22</v>
      </c>
      <c r="H45" t="s">
        <v>25</v>
      </c>
      <c r="I45" t="s">
        <v>26</v>
      </c>
      <c r="J45" t="s">
        <v>27</v>
      </c>
      <c r="K45" t="s">
        <v>28</v>
      </c>
      <c r="L45" t="s">
        <v>29</v>
      </c>
      <c r="M45" t="s">
        <v>30</v>
      </c>
      <c r="N45" t="s">
        <v>31</v>
      </c>
      <c r="O45" t="s">
        <v>32</v>
      </c>
      <c r="P45" t="s">
        <v>32</v>
      </c>
      <c r="Q45" t="s">
        <v>32</v>
      </c>
      <c r="R45" t="s">
        <v>33</v>
      </c>
    </row>
    <row r="46" spans="1:18" x14ac:dyDescent="0.45">
      <c r="A46" t="s">
        <v>21</v>
      </c>
      <c r="B46" t="s">
        <v>2065</v>
      </c>
      <c r="C46" t="s">
        <v>2066</v>
      </c>
      <c r="D46" t="s">
        <v>32</v>
      </c>
      <c r="E46" t="s">
        <v>237</v>
      </c>
      <c r="F46" t="s">
        <v>236</v>
      </c>
      <c r="G46" t="s">
        <v>59</v>
      </c>
      <c r="H46" t="s">
        <v>233</v>
      </c>
      <c r="I46" t="s">
        <v>188</v>
      </c>
      <c r="J46" t="s">
        <v>246</v>
      </c>
      <c r="K46" t="s">
        <v>32</v>
      </c>
      <c r="L46" t="s">
        <v>2048</v>
      </c>
      <c r="M46" t="s">
        <v>63</v>
      </c>
      <c r="N46" t="s">
        <v>64</v>
      </c>
      <c r="O46" t="s">
        <v>32</v>
      </c>
      <c r="P46" t="s">
        <v>246</v>
      </c>
      <c r="Q46" t="s">
        <v>247</v>
      </c>
      <c r="R46" t="s">
        <v>32</v>
      </c>
    </row>
    <row r="47" spans="1:18" x14ac:dyDescent="0.45">
      <c r="A47" t="s">
        <v>21</v>
      </c>
      <c r="B47" t="s">
        <v>2065</v>
      </c>
      <c r="C47" t="s">
        <v>2066</v>
      </c>
      <c r="D47" t="s">
        <v>32</v>
      </c>
      <c r="E47" t="s">
        <v>97</v>
      </c>
      <c r="F47" t="s">
        <v>96</v>
      </c>
      <c r="G47" t="s">
        <v>22</v>
      </c>
      <c r="H47" t="s">
        <v>76</v>
      </c>
      <c r="I47" t="s">
        <v>188</v>
      </c>
      <c r="J47" t="s">
        <v>189</v>
      </c>
      <c r="K47" t="s">
        <v>190</v>
      </c>
      <c r="L47" t="s">
        <v>29</v>
      </c>
      <c r="M47" t="s">
        <v>30</v>
      </c>
      <c r="N47" t="s">
        <v>31</v>
      </c>
      <c r="O47" t="s">
        <v>32</v>
      </c>
      <c r="P47" t="s">
        <v>32</v>
      </c>
      <c r="Q47" t="s">
        <v>32</v>
      </c>
      <c r="R47" t="s">
        <v>33</v>
      </c>
    </row>
    <row r="48" spans="1:18" x14ac:dyDescent="0.45">
      <c r="A48" t="s">
        <v>21</v>
      </c>
      <c r="B48" t="s">
        <v>2065</v>
      </c>
      <c r="C48" t="s">
        <v>2066</v>
      </c>
      <c r="D48" t="s">
        <v>32</v>
      </c>
      <c r="E48" t="s">
        <v>174</v>
      </c>
      <c r="F48" t="s">
        <v>173</v>
      </c>
      <c r="G48" t="s">
        <v>22</v>
      </c>
      <c r="H48" t="s">
        <v>25</v>
      </c>
      <c r="I48" t="s">
        <v>26</v>
      </c>
      <c r="J48" t="s">
        <v>27</v>
      </c>
      <c r="K48" t="s">
        <v>28</v>
      </c>
      <c r="L48" t="s">
        <v>29</v>
      </c>
      <c r="M48" t="s">
        <v>30</v>
      </c>
      <c r="N48" t="s">
        <v>31</v>
      </c>
      <c r="O48" t="s">
        <v>32</v>
      </c>
      <c r="P48" t="s">
        <v>32</v>
      </c>
      <c r="Q48" t="s">
        <v>32</v>
      </c>
      <c r="R48" t="s">
        <v>33</v>
      </c>
    </row>
    <row r="49" spans="1:18" x14ac:dyDescent="0.45">
      <c r="A49" t="s">
        <v>21</v>
      </c>
      <c r="B49" t="s">
        <v>2065</v>
      </c>
      <c r="C49" t="s">
        <v>2066</v>
      </c>
      <c r="D49" t="s">
        <v>32</v>
      </c>
      <c r="E49" t="s">
        <v>84</v>
      </c>
      <c r="F49" t="s">
        <v>83</v>
      </c>
      <c r="G49" t="s">
        <v>22</v>
      </c>
      <c r="H49" t="s">
        <v>85</v>
      </c>
      <c r="I49" t="s">
        <v>26</v>
      </c>
      <c r="J49" t="s">
        <v>27</v>
      </c>
      <c r="K49" t="s">
        <v>28</v>
      </c>
      <c r="L49" t="s">
        <v>29</v>
      </c>
      <c r="M49" t="s">
        <v>30</v>
      </c>
      <c r="N49" t="s">
        <v>31</v>
      </c>
      <c r="O49" t="s">
        <v>32</v>
      </c>
      <c r="P49" t="s">
        <v>32</v>
      </c>
      <c r="Q49" t="s">
        <v>32</v>
      </c>
      <c r="R49" t="s">
        <v>33</v>
      </c>
    </row>
    <row r="50" spans="1:18" x14ac:dyDescent="0.45">
      <c r="A50" t="s">
        <v>21</v>
      </c>
      <c r="B50" t="s">
        <v>2065</v>
      </c>
      <c r="C50" t="s">
        <v>2066</v>
      </c>
      <c r="D50" t="s">
        <v>32</v>
      </c>
      <c r="E50" t="s">
        <v>38</v>
      </c>
      <c r="F50" t="s">
        <v>37</v>
      </c>
      <c r="G50" t="s">
        <v>22</v>
      </c>
      <c r="H50" t="s">
        <v>25</v>
      </c>
      <c r="I50" t="s">
        <v>26</v>
      </c>
      <c r="J50" t="s">
        <v>27</v>
      </c>
      <c r="K50" t="s">
        <v>28</v>
      </c>
      <c r="L50" t="s">
        <v>29</v>
      </c>
      <c r="M50" t="s">
        <v>30</v>
      </c>
      <c r="N50" t="s">
        <v>31</v>
      </c>
      <c r="O50" t="s">
        <v>32</v>
      </c>
      <c r="P50" t="s">
        <v>32</v>
      </c>
      <c r="Q50" t="s">
        <v>32</v>
      </c>
      <c r="R50" t="s">
        <v>33</v>
      </c>
    </row>
    <row r="51" spans="1:18" x14ac:dyDescent="0.45">
      <c r="A51" t="s">
        <v>21</v>
      </c>
      <c r="B51" t="s">
        <v>2065</v>
      </c>
      <c r="C51" t="s">
        <v>2066</v>
      </c>
      <c r="D51" t="s">
        <v>32</v>
      </c>
      <c r="E51" t="s">
        <v>43</v>
      </c>
      <c r="F51" t="s">
        <v>42</v>
      </c>
      <c r="G51" t="s">
        <v>22</v>
      </c>
      <c r="H51" t="s">
        <v>25</v>
      </c>
      <c r="I51" t="s">
        <v>26</v>
      </c>
      <c r="J51" t="s">
        <v>27</v>
      </c>
      <c r="K51" t="s">
        <v>28</v>
      </c>
      <c r="L51" t="s">
        <v>29</v>
      </c>
      <c r="M51" t="s">
        <v>30</v>
      </c>
      <c r="N51" t="s">
        <v>31</v>
      </c>
      <c r="O51" t="s">
        <v>32</v>
      </c>
      <c r="P51" t="s">
        <v>32</v>
      </c>
      <c r="Q51" t="s">
        <v>32</v>
      </c>
      <c r="R51" t="s">
        <v>33</v>
      </c>
    </row>
    <row r="52" spans="1:18" x14ac:dyDescent="0.45">
      <c r="A52" t="s">
        <v>21</v>
      </c>
      <c r="B52" t="s">
        <v>2065</v>
      </c>
      <c r="C52" t="s">
        <v>2066</v>
      </c>
      <c r="D52" t="s">
        <v>32</v>
      </c>
      <c r="E52" t="s">
        <v>215</v>
      </c>
      <c r="F52" t="s">
        <v>214</v>
      </c>
      <c r="G52" t="s">
        <v>213</v>
      </c>
      <c r="H52" t="s">
        <v>76</v>
      </c>
      <c r="I52" t="s">
        <v>26</v>
      </c>
      <c r="J52" t="s">
        <v>27</v>
      </c>
      <c r="K52" t="s">
        <v>28</v>
      </c>
      <c r="L52" t="s">
        <v>216</v>
      </c>
      <c r="M52" t="s">
        <v>30</v>
      </c>
      <c r="N52" t="s">
        <v>31</v>
      </c>
      <c r="O52" t="s">
        <v>32</v>
      </c>
      <c r="P52" t="s">
        <v>32</v>
      </c>
      <c r="Q52" t="s">
        <v>32</v>
      </c>
      <c r="R52" t="s">
        <v>33</v>
      </c>
    </row>
    <row r="53" spans="1:18" x14ac:dyDescent="0.45">
      <c r="A53" t="s">
        <v>21</v>
      </c>
      <c r="B53" t="s">
        <v>2065</v>
      </c>
      <c r="C53" t="s">
        <v>2066</v>
      </c>
      <c r="D53" t="s">
        <v>32</v>
      </c>
      <c r="E53" t="s">
        <v>101</v>
      </c>
      <c r="F53" t="s">
        <v>100</v>
      </c>
      <c r="G53" t="s">
        <v>22</v>
      </c>
      <c r="H53" t="s">
        <v>102</v>
      </c>
      <c r="I53" t="s">
        <v>26</v>
      </c>
      <c r="J53" t="s">
        <v>27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 t="s">
        <v>32</v>
      </c>
      <c r="Q53" t="s">
        <v>32</v>
      </c>
      <c r="R53" t="s">
        <v>33</v>
      </c>
    </row>
    <row r="54" spans="1:18" x14ac:dyDescent="0.45">
      <c r="A54" t="s">
        <v>21</v>
      </c>
      <c r="B54" t="s">
        <v>2065</v>
      </c>
      <c r="C54" t="s">
        <v>2066</v>
      </c>
      <c r="D54" t="s">
        <v>32</v>
      </c>
      <c r="E54" t="s">
        <v>106</v>
      </c>
      <c r="F54" t="s">
        <v>105</v>
      </c>
      <c r="G54" t="s">
        <v>22</v>
      </c>
      <c r="H54" t="s">
        <v>25</v>
      </c>
      <c r="I54" t="s">
        <v>26</v>
      </c>
      <c r="J54" t="s">
        <v>27</v>
      </c>
      <c r="K54" t="s">
        <v>28</v>
      </c>
      <c r="L54" t="s">
        <v>29</v>
      </c>
      <c r="M54" t="s">
        <v>30</v>
      </c>
      <c r="N54" t="s">
        <v>31</v>
      </c>
      <c r="O54" t="s">
        <v>32</v>
      </c>
      <c r="P54" t="s">
        <v>32</v>
      </c>
      <c r="Q54" t="s">
        <v>32</v>
      </c>
      <c r="R54" t="s">
        <v>33</v>
      </c>
    </row>
    <row r="55" spans="1:18" x14ac:dyDescent="0.45">
      <c r="A55" t="s">
        <v>21</v>
      </c>
      <c r="B55" t="s">
        <v>2065</v>
      </c>
      <c r="C55" t="s">
        <v>2066</v>
      </c>
      <c r="D55" t="s">
        <v>32</v>
      </c>
      <c r="E55" t="s">
        <v>106</v>
      </c>
      <c r="F55" t="s">
        <v>105</v>
      </c>
      <c r="G55" t="s">
        <v>22</v>
      </c>
      <c r="H55" t="s">
        <v>25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31</v>
      </c>
      <c r="O55" t="s">
        <v>32</v>
      </c>
      <c r="P55" t="s">
        <v>32</v>
      </c>
      <c r="Q55" t="s">
        <v>32</v>
      </c>
      <c r="R55" t="s">
        <v>33</v>
      </c>
    </row>
    <row r="56" spans="1:18" x14ac:dyDescent="0.45">
      <c r="A56" t="s">
        <v>21</v>
      </c>
      <c r="B56" t="s">
        <v>2065</v>
      </c>
      <c r="C56" t="s">
        <v>2066</v>
      </c>
      <c r="D56" t="s">
        <v>32</v>
      </c>
      <c r="E56" t="s">
        <v>106</v>
      </c>
      <c r="F56" t="s">
        <v>105</v>
      </c>
      <c r="G56" t="s">
        <v>22</v>
      </c>
      <c r="H56" t="s">
        <v>25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t="s">
        <v>32</v>
      </c>
      <c r="P56" t="s">
        <v>32</v>
      </c>
      <c r="Q56" t="s">
        <v>32</v>
      </c>
      <c r="R56" t="s">
        <v>33</v>
      </c>
    </row>
    <row r="57" spans="1:18" x14ac:dyDescent="0.45">
      <c r="A57" t="s">
        <v>21</v>
      </c>
      <c r="B57" t="s">
        <v>2065</v>
      </c>
      <c r="C57" t="s">
        <v>2066</v>
      </c>
      <c r="D57" t="s">
        <v>32</v>
      </c>
      <c r="E57" t="s">
        <v>178</v>
      </c>
      <c r="F57" t="s">
        <v>177</v>
      </c>
      <c r="G57" t="s">
        <v>22</v>
      </c>
      <c r="H57" t="s">
        <v>25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32</v>
      </c>
      <c r="Q57" t="s">
        <v>32</v>
      </c>
      <c r="R57" t="s">
        <v>33</v>
      </c>
    </row>
    <row r="58" spans="1:18" x14ac:dyDescent="0.45">
      <c r="A58" t="s">
        <v>21</v>
      </c>
      <c r="B58" t="s">
        <v>2065</v>
      </c>
      <c r="C58" t="s">
        <v>2066</v>
      </c>
      <c r="D58" t="s">
        <v>32</v>
      </c>
      <c r="E58" t="s">
        <v>178</v>
      </c>
      <c r="F58" t="s">
        <v>177</v>
      </c>
      <c r="G58" t="s">
        <v>22</v>
      </c>
      <c r="H58" t="s">
        <v>25</v>
      </c>
      <c r="I58" t="s">
        <v>26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t="s">
        <v>32</v>
      </c>
      <c r="Q58" t="s">
        <v>32</v>
      </c>
      <c r="R58" t="s">
        <v>33</v>
      </c>
    </row>
    <row r="59" spans="1:18" x14ac:dyDescent="0.45">
      <c r="A59" t="s">
        <v>21</v>
      </c>
      <c r="B59" t="s">
        <v>2065</v>
      </c>
      <c r="C59" t="s">
        <v>2066</v>
      </c>
      <c r="D59" t="s">
        <v>32</v>
      </c>
      <c r="E59" t="s">
        <v>260</v>
      </c>
      <c r="F59" t="s">
        <v>259</v>
      </c>
      <c r="G59" t="s">
        <v>59</v>
      </c>
      <c r="H59" t="s">
        <v>56</v>
      </c>
      <c r="I59" t="s">
        <v>26</v>
      </c>
      <c r="J59" t="s">
        <v>62</v>
      </c>
      <c r="K59" t="s">
        <v>342</v>
      </c>
      <c r="L59" t="s">
        <v>2068</v>
      </c>
      <c r="M59" t="s">
        <v>63</v>
      </c>
      <c r="N59" t="s">
        <v>64</v>
      </c>
      <c r="O59" t="s">
        <v>32</v>
      </c>
      <c r="P59" t="s">
        <v>65</v>
      </c>
      <c r="Q59" t="s">
        <v>66</v>
      </c>
      <c r="R59" t="s">
        <v>32</v>
      </c>
    </row>
    <row r="60" spans="1:18" x14ac:dyDescent="0.45">
      <c r="A60" t="s">
        <v>21</v>
      </c>
      <c r="B60" t="s">
        <v>2065</v>
      </c>
      <c r="C60" t="s">
        <v>2066</v>
      </c>
      <c r="D60" t="s">
        <v>32</v>
      </c>
      <c r="E60" t="s">
        <v>110</v>
      </c>
      <c r="F60" t="s">
        <v>109</v>
      </c>
      <c r="G60" t="s">
        <v>22</v>
      </c>
      <c r="H60" t="s">
        <v>25</v>
      </c>
      <c r="I60" t="s">
        <v>26</v>
      </c>
      <c r="J60" t="s">
        <v>27</v>
      </c>
      <c r="K60" t="s">
        <v>28</v>
      </c>
      <c r="L60" t="s">
        <v>29</v>
      </c>
      <c r="M60" t="s">
        <v>30</v>
      </c>
      <c r="N60" t="s">
        <v>31</v>
      </c>
      <c r="O60" t="s">
        <v>32</v>
      </c>
      <c r="P60" t="s">
        <v>32</v>
      </c>
      <c r="Q60" t="s">
        <v>32</v>
      </c>
      <c r="R60" t="s">
        <v>33</v>
      </c>
    </row>
    <row r="61" spans="1:18" x14ac:dyDescent="0.45">
      <c r="A61" t="s">
        <v>21</v>
      </c>
      <c r="B61" t="s">
        <v>2065</v>
      </c>
      <c r="C61" t="s">
        <v>2066</v>
      </c>
      <c r="D61" t="s">
        <v>32</v>
      </c>
      <c r="E61" t="s">
        <v>269</v>
      </c>
      <c r="F61" t="s">
        <v>268</v>
      </c>
      <c r="G61" t="s">
        <v>277</v>
      </c>
      <c r="H61" t="s">
        <v>71</v>
      </c>
      <c r="I61" t="s">
        <v>26</v>
      </c>
      <c r="J61" t="s">
        <v>280</v>
      </c>
      <c r="K61" t="s">
        <v>281</v>
      </c>
      <c r="L61" t="s">
        <v>2067</v>
      </c>
      <c r="M61" t="s">
        <v>63</v>
      </c>
      <c r="N61" t="s">
        <v>64</v>
      </c>
      <c r="O61" t="s">
        <v>2069</v>
      </c>
      <c r="P61" t="s">
        <v>1748</v>
      </c>
      <c r="Q61" t="s">
        <v>961</v>
      </c>
      <c r="R61" t="s">
        <v>32</v>
      </c>
    </row>
    <row r="62" spans="1:18" x14ac:dyDescent="0.45">
      <c r="A62" t="s">
        <v>21</v>
      </c>
      <c r="B62" t="s">
        <v>2065</v>
      </c>
      <c r="C62" t="s">
        <v>2066</v>
      </c>
      <c r="D62" t="s">
        <v>32</v>
      </c>
      <c r="E62" t="s">
        <v>255</v>
      </c>
      <c r="F62" t="s">
        <v>254</v>
      </c>
      <c r="G62" t="s">
        <v>59</v>
      </c>
      <c r="H62" t="s">
        <v>71</v>
      </c>
      <c r="I62" t="s">
        <v>26</v>
      </c>
      <c r="J62" t="s">
        <v>62</v>
      </c>
      <c r="K62" t="s">
        <v>28</v>
      </c>
      <c r="L62" t="s">
        <v>2067</v>
      </c>
      <c r="M62" t="s">
        <v>63</v>
      </c>
      <c r="N62" t="s">
        <v>64</v>
      </c>
      <c r="O62" t="s">
        <v>32</v>
      </c>
      <c r="P62" t="s">
        <v>65</v>
      </c>
      <c r="Q62" t="s">
        <v>66</v>
      </c>
      <c r="R62" t="s">
        <v>32</v>
      </c>
    </row>
    <row r="63" spans="1:18" x14ac:dyDescent="0.45">
      <c r="A63" t="s">
        <v>21</v>
      </c>
      <c r="B63" t="s">
        <v>2065</v>
      </c>
      <c r="C63" t="s">
        <v>2066</v>
      </c>
      <c r="D63" t="s">
        <v>32</v>
      </c>
      <c r="E63" t="s">
        <v>224</v>
      </c>
      <c r="F63" t="s">
        <v>223</v>
      </c>
      <c r="G63" t="s">
        <v>213</v>
      </c>
      <c r="H63" t="s">
        <v>25</v>
      </c>
      <c r="I63" t="s">
        <v>26</v>
      </c>
      <c r="J63" t="s">
        <v>27</v>
      </c>
      <c r="K63" t="s">
        <v>28</v>
      </c>
      <c r="L63" t="s">
        <v>861</v>
      </c>
      <c r="M63" t="s">
        <v>30</v>
      </c>
      <c r="N63" t="s">
        <v>31</v>
      </c>
      <c r="O63" t="s">
        <v>32</v>
      </c>
      <c r="P63" t="s">
        <v>32</v>
      </c>
      <c r="Q63" t="s">
        <v>32</v>
      </c>
      <c r="R63" t="s">
        <v>33</v>
      </c>
    </row>
    <row r="64" spans="1:18" x14ac:dyDescent="0.45">
      <c r="A64" t="s">
        <v>21</v>
      </c>
      <c r="B64" t="s">
        <v>2065</v>
      </c>
      <c r="C64" t="s">
        <v>2066</v>
      </c>
      <c r="D64" t="s">
        <v>32</v>
      </c>
      <c r="E64" t="s">
        <v>241</v>
      </c>
      <c r="F64" t="s">
        <v>240</v>
      </c>
      <c r="G64" t="s">
        <v>59</v>
      </c>
      <c r="H64" t="s">
        <v>102</v>
      </c>
      <c r="I64" t="s">
        <v>26</v>
      </c>
      <c r="J64" t="s">
        <v>62</v>
      </c>
      <c r="K64" t="s">
        <v>342</v>
      </c>
      <c r="L64" t="s">
        <v>216</v>
      </c>
      <c r="M64" t="s">
        <v>63</v>
      </c>
      <c r="N64" t="s">
        <v>64</v>
      </c>
      <c r="O64" t="s">
        <v>32</v>
      </c>
      <c r="P64" t="s">
        <v>65</v>
      </c>
      <c r="Q64" t="s">
        <v>66</v>
      </c>
      <c r="R64" t="s">
        <v>32</v>
      </c>
    </row>
    <row r="65" spans="1:18" x14ac:dyDescent="0.45">
      <c r="A65" t="s">
        <v>21</v>
      </c>
      <c r="B65" t="s">
        <v>2065</v>
      </c>
      <c r="C65" t="s">
        <v>2066</v>
      </c>
      <c r="D65" t="s">
        <v>32</v>
      </c>
      <c r="E65" t="s">
        <v>186</v>
      </c>
      <c r="F65" t="s">
        <v>185</v>
      </c>
      <c r="G65" t="s">
        <v>22</v>
      </c>
      <c r="H65" t="s">
        <v>187</v>
      </c>
      <c r="I65" t="s">
        <v>188</v>
      </c>
      <c r="J65" t="s">
        <v>189</v>
      </c>
      <c r="K65" t="s">
        <v>190</v>
      </c>
      <c r="L65" t="s">
        <v>29</v>
      </c>
      <c r="M65" t="s">
        <v>30</v>
      </c>
      <c r="N65" t="s">
        <v>31</v>
      </c>
      <c r="O65" t="s">
        <v>32</v>
      </c>
      <c r="P65" t="s">
        <v>32</v>
      </c>
      <c r="Q65" t="s">
        <v>32</v>
      </c>
      <c r="R65" t="s">
        <v>33</v>
      </c>
    </row>
    <row r="66" spans="1:18" x14ac:dyDescent="0.45">
      <c r="A66" t="s">
        <v>21</v>
      </c>
      <c r="B66" t="s">
        <v>2065</v>
      </c>
      <c r="C66" t="s">
        <v>2066</v>
      </c>
      <c r="D66" t="s">
        <v>32</v>
      </c>
      <c r="E66" t="s">
        <v>273</v>
      </c>
      <c r="F66" t="s">
        <v>272</v>
      </c>
      <c r="G66" t="s">
        <v>59</v>
      </c>
      <c r="H66" t="s">
        <v>187</v>
      </c>
      <c r="I66" t="s">
        <v>26</v>
      </c>
      <c r="J66" t="s">
        <v>62</v>
      </c>
      <c r="K66" t="s">
        <v>342</v>
      </c>
      <c r="L66" t="s">
        <v>265</v>
      </c>
      <c r="M66" t="s">
        <v>63</v>
      </c>
      <c r="N66" t="s">
        <v>64</v>
      </c>
      <c r="O66" t="s">
        <v>32</v>
      </c>
      <c r="P66" t="s">
        <v>65</v>
      </c>
      <c r="Q66" t="s">
        <v>66</v>
      </c>
      <c r="R66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L227"/>
  <sheetViews>
    <sheetView zoomScale="58" workbookViewId="0">
      <pane xSplit="3" ySplit="2" topLeftCell="D49" activePane="bottomRight" state="frozen"/>
      <selection pane="topRight" activeCell="D1" sqref="D1"/>
      <selection pane="bottomLeft" activeCell="A3" sqref="A3"/>
      <selection pane="bottomRight" activeCell="N57" sqref="N57"/>
    </sheetView>
  </sheetViews>
  <sheetFormatPr defaultRowHeight="14.25" x14ac:dyDescent="0.45"/>
  <cols>
    <col min="7" max="8" width="9.73046875" customWidth="1"/>
    <col min="9" max="9" width="10.1328125" customWidth="1"/>
    <col min="11" max="11" width="9.3984375" customWidth="1"/>
    <col min="12" max="12" width="7.3984375" customWidth="1"/>
    <col min="18" max="18" width="8.3984375" customWidth="1"/>
    <col min="19" max="20" width="8.86328125" customWidth="1"/>
    <col min="22" max="22" width="8.59765625" customWidth="1"/>
    <col min="23" max="23" width="8" customWidth="1"/>
    <col min="24" max="24" width="9.3984375" customWidth="1"/>
    <col min="25" max="25" width="11.73046875" customWidth="1"/>
    <col min="26" max="27" width="11.86328125" customWidth="1"/>
    <col min="28" max="28" width="10.3984375" customWidth="1"/>
    <col min="30" max="31" width="9.1328125" customWidth="1"/>
    <col min="35" max="36" width="9.1328125" customWidth="1"/>
    <col min="37" max="37" width="9.59765625" bestFit="1" customWidth="1"/>
    <col min="38" max="38" width="7.73046875" bestFit="1" customWidth="1"/>
  </cols>
  <sheetData>
    <row r="2" spans="1:38" ht="51" customHeight="1" x14ac:dyDescent="0.45">
      <c r="B2" s="26" t="s">
        <v>2070</v>
      </c>
      <c r="C2" s="26" t="s">
        <v>2071</v>
      </c>
      <c r="D2" s="26" t="s">
        <v>2072</v>
      </c>
      <c r="E2" s="26" t="s">
        <v>2073</v>
      </c>
      <c r="F2" s="26" t="s">
        <v>2074</v>
      </c>
      <c r="G2" s="26" t="s">
        <v>2075</v>
      </c>
      <c r="H2" s="26" t="s">
        <v>2076</v>
      </c>
      <c r="I2" s="26" t="s">
        <v>2077</v>
      </c>
      <c r="J2" s="26" t="s">
        <v>2078</v>
      </c>
      <c r="K2" s="26" t="s">
        <v>2079</v>
      </c>
      <c r="L2" s="26" t="s">
        <v>2080</v>
      </c>
      <c r="M2" s="26" t="s">
        <v>2081</v>
      </c>
      <c r="N2" s="26" t="s">
        <v>2082</v>
      </c>
      <c r="O2" s="26" t="s">
        <v>2083</v>
      </c>
      <c r="P2" s="26" t="s">
        <v>2084</v>
      </c>
      <c r="Q2" s="26" t="s">
        <v>2085</v>
      </c>
      <c r="R2" s="26" t="s">
        <v>2086</v>
      </c>
      <c r="S2" s="26" t="s">
        <v>2087</v>
      </c>
      <c r="T2" s="26" t="s">
        <v>2088</v>
      </c>
      <c r="U2" s="26" t="s">
        <v>2089</v>
      </c>
      <c r="V2" s="26" t="s">
        <v>2090</v>
      </c>
      <c r="W2" s="26" t="s">
        <v>2091</v>
      </c>
      <c r="X2" s="26" t="s">
        <v>951</v>
      </c>
      <c r="Y2" s="29" t="s">
        <v>2092</v>
      </c>
      <c r="Z2" s="29" t="s">
        <v>2093</v>
      </c>
      <c r="AA2" s="29" t="s">
        <v>2094</v>
      </c>
      <c r="AB2" s="30" t="s">
        <v>2095</v>
      </c>
      <c r="AC2" s="30" t="s">
        <v>2096</v>
      </c>
      <c r="AD2" s="30" t="s">
        <v>2097</v>
      </c>
      <c r="AE2" s="30" t="s">
        <v>2098</v>
      </c>
      <c r="AF2" s="30" t="s">
        <v>2099</v>
      </c>
      <c r="AG2" s="30" t="s">
        <v>2100</v>
      </c>
      <c r="AH2" s="30" t="s">
        <v>2101</v>
      </c>
      <c r="AI2" s="30" t="s">
        <v>2102</v>
      </c>
      <c r="AJ2" s="30" t="s">
        <v>2103</v>
      </c>
      <c r="AK2" s="30" t="s">
        <v>2104</v>
      </c>
      <c r="AL2" s="30" t="s">
        <v>2105</v>
      </c>
    </row>
    <row r="3" spans="1:38" x14ac:dyDescent="0.45">
      <c r="A3" t="s">
        <v>2106</v>
      </c>
      <c r="B3" s="27">
        <v>1</v>
      </c>
      <c r="C3" s="10">
        <v>168</v>
      </c>
      <c r="D3" s="11">
        <v>3</v>
      </c>
      <c r="E3" s="11">
        <v>3</v>
      </c>
      <c r="F3" s="11">
        <v>3</v>
      </c>
      <c r="G3" s="11">
        <v>19</v>
      </c>
      <c r="H3" s="11">
        <f>G3+3</f>
        <v>22</v>
      </c>
      <c r="I3" s="10">
        <v>22</v>
      </c>
      <c r="J3" s="10">
        <f>I3+3</f>
        <v>25</v>
      </c>
      <c r="K3" s="10">
        <v>4</v>
      </c>
      <c r="L3" s="12">
        <v>3</v>
      </c>
      <c r="M3" s="13" t="s">
        <v>2047</v>
      </c>
      <c r="N3" s="13">
        <f>G3+I3+15+P3+17</f>
        <v>89</v>
      </c>
      <c r="O3" s="13">
        <v>12</v>
      </c>
      <c r="P3" s="14">
        <v>16</v>
      </c>
      <c r="Q3" s="15">
        <v>170</v>
      </c>
      <c r="R3" s="16">
        <v>230</v>
      </c>
      <c r="S3" s="17">
        <v>275</v>
      </c>
      <c r="T3" s="17">
        <f>S3+5</f>
        <v>280</v>
      </c>
      <c r="U3" s="17">
        <v>205</v>
      </c>
      <c r="V3" s="18">
        <v>8</v>
      </c>
      <c r="W3" s="18">
        <v>4</v>
      </c>
      <c r="X3" s="21">
        <v>10</v>
      </c>
      <c r="Y3">
        <v>150</v>
      </c>
      <c r="Z3">
        <v>180</v>
      </c>
    </row>
    <row r="4" spans="1:38" x14ac:dyDescent="0.45">
      <c r="A4" t="s">
        <v>2107</v>
      </c>
      <c r="B4" s="27">
        <v>2</v>
      </c>
      <c r="C4" s="10">
        <v>219</v>
      </c>
      <c r="D4" s="11">
        <v>3</v>
      </c>
      <c r="E4" s="11">
        <v>3</v>
      </c>
      <c r="F4" s="11">
        <v>3</v>
      </c>
      <c r="G4" s="11">
        <v>19</v>
      </c>
      <c r="H4" s="11">
        <f t="shared" ref="H4:H57" si="0">G4+3</f>
        <v>22</v>
      </c>
      <c r="I4" s="10">
        <v>22</v>
      </c>
      <c r="J4" s="10">
        <f t="shared" ref="J4:J35" si="1">I4+3</f>
        <v>25</v>
      </c>
      <c r="K4" s="10">
        <v>4</v>
      </c>
      <c r="L4" s="12">
        <v>3</v>
      </c>
      <c r="M4" s="13" t="s">
        <v>2047</v>
      </c>
      <c r="N4" s="13">
        <f t="shared" ref="N4:N37" si="2">G4+I4+15+P4+17</f>
        <v>89</v>
      </c>
      <c r="O4" s="13">
        <v>12</v>
      </c>
      <c r="P4" s="14">
        <v>16</v>
      </c>
      <c r="Q4" s="15">
        <v>221</v>
      </c>
      <c r="R4" s="16">
        <v>285</v>
      </c>
      <c r="S4" s="17">
        <v>325</v>
      </c>
      <c r="T4" s="17">
        <f t="shared" ref="T4:T67" si="3">S4+5</f>
        <v>330</v>
      </c>
      <c r="U4" s="17">
        <v>265</v>
      </c>
      <c r="V4" s="18">
        <v>8</v>
      </c>
      <c r="W4" s="18">
        <v>4</v>
      </c>
      <c r="X4" s="21">
        <v>10</v>
      </c>
      <c r="Y4">
        <v>150</v>
      </c>
      <c r="Z4">
        <v>230</v>
      </c>
      <c r="AA4">
        <v>12</v>
      </c>
      <c r="AB4">
        <v>190</v>
      </c>
      <c r="AC4">
        <v>785</v>
      </c>
      <c r="AD4">
        <f>AB4</f>
        <v>190</v>
      </c>
      <c r="AE4">
        <f>AC4-25</f>
        <v>760</v>
      </c>
      <c r="AF4">
        <v>8</v>
      </c>
      <c r="AG4">
        <v>152</v>
      </c>
      <c r="AH4">
        <v>734</v>
      </c>
      <c r="AI4">
        <f>AG4</f>
        <v>152</v>
      </c>
      <c r="AJ4">
        <f>AH4-25</f>
        <v>709</v>
      </c>
      <c r="AK4">
        <v>8</v>
      </c>
      <c r="AL4">
        <v>1</v>
      </c>
    </row>
    <row r="5" spans="1:38" x14ac:dyDescent="0.45">
      <c r="A5" t="s">
        <v>2108</v>
      </c>
      <c r="B5" s="28">
        <v>3</v>
      </c>
      <c r="C5" s="10">
        <v>273</v>
      </c>
      <c r="D5" s="11">
        <v>3</v>
      </c>
      <c r="E5" s="11">
        <v>3</v>
      </c>
      <c r="F5" s="11">
        <v>4</v>
      </c>
      <c r="G5" s="11">
        <v>19</v>
      </c>
      <c r="H5" s="11">
        <f t="shared" si="0"/>
        <v>22</v>
      </c>
      <c r="I5" s="10">
        <v>22</v>
      </c>
      <c r="J5" s="10">
        <f t="shared" si="1"/>
        <v>25</v>
      </c>
      <c r="K5" s="10">
        <v>4</v>
      </c>
      <c r="L5" s="12">
        <v>3</v>
      </c>
      <c r="M5" s="13" t="s">
        <v>2047</v>
      </c>
      <c r="N5" s="13">
        <f t="shared" si="2"/>
        <v>89</v>
      </c>
      <c r="O5" s="13">
        <v>12</v>
      </c>
      <c r="P5" s="14">
        <v>16</v>
      </c>
      <c r="Q5" s="15">
        <v>275</v>
      </c>
      <c r="R5" s="16">
        <v>335</v>
      </c>
      <c r="S5" s="17">
        <v>375</v>
      </c>
      <c r="T5" s="17">
        <f t="shared" si="3"/>
        <v>380</v>
      </c>
      <c r="U5" s="17">
        <v>315</v>
      </c>
      <c r="V5" s="18">
        <v>8</v>
      </c>
      <c r="W5" s="18">
        <v>4</v>
      </c>
      <c r="X5" s="21">
        <v>10</v>
      </c>
      <c r="Y5">
        <v>150</v>
      </c>
      <c r="Z5">
        <v>270</v>
      </c>
      <c r="AA5">
        <v>12</v>
      </c>
      <c r="AB5">
        <v>235</v>
      </c>
      <c r="AC5">
        <v>797</v>
      </c>
      <c r="AD5">
        <f t="shared" ref="AD5:AD68" si="4">AB5</f>
        <v>235</v>
      </c>
      <c r="AE5">
        <f t="shared" ref="AE5:AE68" si="5">AC5-25</f>
        <v>772</v>
      </c>
      <c r="AF5">
        <v>8</v>
      </c>
      <c r="AG5">
        <v>152</v>
      </c>
      <c r="AH5">
        <v>734</v>
      </c>
      <c r="AI5">
        <f t="shared" ref="AI5:AI68" si="6">AG5</f>
        <v>152</v>
      </c>
      <c r="AJ5">
        <f t="shared" ref="AJ5:AJ68" si="7">AH5-25</f>
        <v>709</v>
      </c>
      <c r="AK5">
        <v>8</v>
      </c>
      <c r="AL5">
        <v>1</v>
      </c>
    </row>
    <row r="6" spans="1:38" x14ac:dyDescent="0.45">
      <c r="B6" s="27">
        <v>4</v>
      </c>
      <c r="C6" s="10">
        <v>290</v>
      </c>
      <c r="D6" s="11">
        <v>3</v>
      </c>
      <c r="E6" s="11">
        <v>3</v>
      </c>
      <c r="F6" s="11">
        <v>4</v>
      </c>
      <c r="G6" s="11">
        <v>19</v>
      </c>
      <c r="H6" s="11">
        <f t="shared" si="0"/>
        <v>22</v>
      </c>
      <c r="I6" s="10">
        <v>22</v>
      </c>
      <c r="J6" s="10">
        <f t="shared" si="1"/>
        <v>25</v>
      </c>
      <c r="K6" s="10">
        <v>4</v>
      </c>
      <c r="L6" s="12">
        <v>3</v>
      </c>
      <c r="M6" s="13" t="s">
        <v>2047</v>
      </c>
      <c r="N6" s="13">
        <f t="shared" si="2"/>
        <v>89</v>
      </c>
      <c r="O6" s="13">
        <v>16</v>
      </c>
      <c r="P6" s="14">
        <v>16</v>
      </c>
      <c r="Q6" s="15">
        <f t="shared" ref="Q6:Q34" si="8">C6+(2*D6)+2</f>
        <v>298</v>
      </c>
      <c r="R6" s="16">
        <v>360</v>
      </c>
      <c r="S6" s="17">
        <v>415</v>
      </c>
      <c r="T6" s="17">
        <f t="shared" si="3"/>
        <v>420</v>
      </c>
      <c r="U6" s="17">
        <v>330</v>
      </c>
      <c r="V6" s="18">
        <v>8</v>
      </c>
      <c r="W6" s="18">
        <v>4</v>
      </c>
      <c r="X6" s="21">
        <v>10</v>
      </c>
      <c r="Y6">
        <v>150</v>
      </c>
      <c r="AD6">
        <f t="shared" si="4"/>
        <v>0</v>
      </c>
      <c r="AI6">
        <f t="shared" si="6"/>
        <v>0</v>
      </c>
      <c r="AJ6">
        <f t="shared" si="7"/>
        <v>-25</v>
      </c>
    </row>
    <row r="7" spans="1:38" x14ac:dyDescent="0.45">
      <c r="B7" s="28">
        <v>5</v>
      </c>
      <c r="C7" s="10">
        <v>300</v>
      </c>
      <c r="D7" s="11">
        <v>3</v>
      </c>
      <c r="E7" s="11">
        <v>3</v>
      </c>
      <c r="F7" s="11">
        <v>4</v>
      </c>
      <c r="G7" s="11">
        <v>19</v>
      </c>
      <c r="H7" s="11">
        <f t="shared" si="0"/>
        <v>22</v>
      </c>
      <c r="I7" s="10">
        <v>22</v>
      </c>
      <c r="J7" s="10">
        <f t="shared" si="1"/>
        <v>25</v>
      </c>
      <c r="K7" s="10">
        <v>4</v>
      </c>
      <c r="L7" s="12">
        <v>3</v>
      </c>
      <c r="M7" s="13" t="s">
        <v>2047</v>
      </c>
      <c r="N7" s="13">
        <f t="shared" si="2"/>
        <v>89</v>
      </c>
      <c r="O7" s="13">
        <v>16</v>
      </c>
      <c r="P7" s="14">
        <v>16</v>
      </c>
      <c r="Q7" s="15">
        <f t="shared" si="8"/>
        <v>308</v>
      </c>
      <c r="R7" s="16">
        <v>375</v>
      </c>
      <c r="S7" s="17">
        <v>425</v>
      </c>
      <c r="T7" s="17">
        <f t="shared" si="3"/>
        <v>430</v>
      </c>
      <c r="U7" s="17">
        <v>340</v>
      </c>
      <c r="V7" s="18">
        <v>8</v>
      </c>
      <c r="W7" s="18">
        <v>4</v>
      </c>
      <c r="X7" s="21">
        <v>10</v>
      </c>
      <c r="Y7">
        <v>150</v>
      </c>
      <c r="Z7">
        <v>320</v>
      </c>
      <c r="AD7">
        <f t="shared" si="4"/>
        <v>0</v>
      </c>
      <c r="AI7">
        <f t="shared" si="6"/>
        <v>0</v>
      </c>
      <c r="AJ7">
        <f t="shared" si="7"/>
        <v>-25</v>
      </c>
    </row>
    <row r="8" spans="1:38" x14ac:dyDescent="0.45">
      <c r="B8" s="27">
        <v>6</v>
      </c>
      <c r="C8" s="10">
        <v>310</v>
      </c>
      <c r="D8" s="11">
        <v>3</v>
      </c>
      <c r="E8" s="11">
        <v>3</v>
      </c>
      <c r="F8" s="11">
        <v>4</v>
      </c>
      <c r="G8" s="11">
        <v>19</v>
      </c>
      <c r="H8" s="11">
        <f t="shared" si="0"/>
        <v>22</v>
      </c>
      <c r="I8" s="10">
        <v>22</v>
      </c>
      <c r="J8" s="10">
        <f t="shared" si="1"/>
        <v>25</v>
      </c>
      <c r="K8" s="10">
        <v>4</v>
      </c>
      <c r="L8" s="12">
        <v>3</v>
      </c>
      <c r="M8" s="13" t="s">
        <v>2047</v>
      </c>
      <c r="N8" s="13">
        <f t="shared" si="2"/>
        <v>89</v>
      </c>
      <c r="O8" s="13">
        <v>16</v>
      </c>
      <c r="P8" s="14">
        <v>16</v>
      </c>
      <c r="Q8" s="15">
        <f t="shared" si="8"/>
        <v>318</v>
      </c>
      <c r="R8" s="16">
        <v>380</v>
      </c>
      <c r="S8" s="17">
        <v>435</v>
      </c>
      <c r="T8" s="17">
        <f t="shared" si="3"/>
        <v>440</v>
      </c>
      <c r="U8" s="17">
        <v>350</v>
      </c>
      <c r="V8" s="18">
        <v>8</v>
      </c>
      <c r="W8" s="18">
        <v>4</v>
      </c>
      <c r="X8" s="21">
        <v>10</v>
      </c>
      <c r="Y8">
        <v>150</v>
      </c>
      <c r="AD8">
        <f t="shared" si="4"/>
        <v>0</v>
      </c>
      <c r="AI8">
        <f t="shared" si="6"/>
        <v>0</v>
      </c>
      <c r="AJ8">
        <f t="shared" si="7"/>
        <v>-25</v>
      </c>
    </row>
    <row r="9" spans="1:38" x14ac:dyDescent="0.45">
      <c r="B9" s="28">
        <v>7</v>
      </c>
      <c r="C9" s="10">
        <v>320</v>
      </c>
      <c r="D9" s="11">
        <v>3</v>
      </c>
      <c r="E9" s="11">
        <v>3</v>
      </c>
      <c r="F9" s="11">
        <v>4</v>
      </c>
      <c r="G9" s="11">
        <v>19</v>
      </c>
      <c r="H9" s="11">
        <f t="shared" si="0"/>
        <v>22</v>
      </c>
      <c r="I9" s="10">
        <v>22</v>
      </c>
      <c r="J9" s="10">
        <f t="shared" si="1"/>
        <v>25</v>
      </c>
      <c r="K9" s="10">
        <v>4</v>
      </c>
      <c r="L9" s="12">
        <v>3</v>
      </c>
      <c r="M9" s="13" t="s">
        <v>2047</v>
      </c>
      <c r="N9" s="13">
        <f t="shared" si="2"/>
        <v>89</v>
      </c>
      <c r="O9" s="13">
        <v>16</v>
      </c>
      <c r="P9" s="14">
        <v>16</v>
      </c>
      <c r="Q9" s="15">
        <f t="shared" si="8"/>
        <v>328</v>
      </c>
      <c r="R9" s="16">
        <f>U9+2*E9+3+P9</f>
        <v>385</v>
      </c>
      <c r="S9" s="17">
        <v>445</v>
      </c>
      <c r="T9" s="17">
        <f t="shared" si="3"/>
        <v>450</v>
      </c>
      <c r="U9" s="17">
        <v>360</v>
      </c>
      <c r="V9" s="18">
        <v>8</v>
      </c>
      <c r="W9" s="18">
        <v>4</v>
      </c>
      <c r="X9" s="21">
        <v>10</v>
      </c>
      <c r="Y9">
        <v>150</v>
      </c>
      <c r="AD9">
        <f t="shared" si="4"/>
        <v>0</v>
      </c>
      <c r="AI9">
        <f t="shared" si="6"/>
        <v>0</v>
      </c>
      <c r="AJ9">
        <f t="shared" si="7"/>
        <v>-25</v>
      </c>
    </row>
    <row r="10" spans="1:38" x14ac:dyDescent="0.45">
      <c r="B10" s="27">
        <v>8</v>
      </c>
      <c r="C10" s="10">
        <v>330</v>
      </c>
      <c r="D10" s="11">
        <v>3</v>
      </c>
      <c r="E10" s="11">
        <v>3</v>
      </c>
      <c r="F10" s="11">
        <v>4</v>
      </c>
      <c r="G10" s="11">
        <v>19</v>
      </c>
      <c r="H10" s="11">
        <f t="shared" si="0"/>
        <v>22</v>
      </c>
      <c r="I10" s="10">
        <v>22</v>
      </c>
      <c r="J10" s="10">
        <f t="shared" si="1"/>
        <v>25</v>
      </c>
      <c r="K10" s="10">
        <v>4</v>
      </c>
      <c r="L10" s="12">
        <v>3</v>
      </c>
      <c r="M10" s="13" t="s">
        <v>2047</v>
      </c>
      <c r="N10" s="13">
        <f t="shared" si="2"/>
        <v>89</v>
      </c>
      <c r="O10" s="13">
        <v>16</v>
      </c>
      <c r="P10" s="14">
        <v>16</v>
      </c>
      <c r="Q10" s="15">
        <f t="shared" si="8"/>
        <v>338</v>
      </c>
      <c r="R10" s="16">
        <f>U10+2*E10+3+P10</f>
        <v>395</v>
      </c>
      <c r="S10" s="17">
        <v>455</v>
      </c>
      <c r="T10" s="17">
        <f t="shared" si="3"/>
        <v>460</v>
      </c>
      <c r="U10" s="17">
        <f>Q10+32</f>
        <v>370</v>
      </c>
      <c r="V10" s="18">
        <v>8</v>
      </c>
      <c r="W10" s="18">
        <v>4</v>
      </c>
      <c r="X10" s="21">
        <v>10</v>
      </c>
      <c r="Y10">
        <v>150</v>
      </c>
      <c r="AD10">
        <f t="shared" si="4"/>
        <v>0</v>
      </c>
      <c r="AI10">
        <f t="shared" si="6"/>
        <v>0</v>
      </c>
      <c r="AJ10">
        <f t="shared" si="7"/>
        <v>-25</v>
      </c>
    </row>
    <row r="11" spans="1:38" x14ac:dyDescent="0.45">
      <c r="B11" s="28">
        <v>9</v>
      </c>
      <c r="C11" s="10">
        <v>340</v>
      </c>
      <c r="D11" s="11">
        <v>3</v>
      </c>
      <c r="E11" s="11">
        <v>3</v>
      </c>
      <c r="F11" s="11">
        <v>4</v>
      </c>
      <c r="G11" s="11">
        <v>19</v>
      </c>
      <c r="H11" s="11">
        <f t="shared" si="0"/>
        <v>22</v>
      </c>
      <c r="I11" s="10">
        <v>22</v>
      </c>
      <c r="J11" s="10">
        <f t="shared" si="1"/>
        <v>25</v>
      </c>
      <c r="K11" s="10">
        <v>4</v>
      </c>
      <c r="L11" s="12">
        <v>3</v>
      </c>
      <c r="M11" s="13" t="s">
        <v>2047</v>
      </c>
      <c r="N11" s="13">
        <f t="shared" si="2"/>
        <v>89</v>
      </c>
      <c r="O11" s="13">
        <v>16</v>
      </c>
      <c r="P11" s="14">
        <v>16</v>
      </c>
      <c r="Q11" s="15">
        <f t="shared" si="8"/>
        <v>348</v>
      </c>
      <c r="R11" s="16">
        <v>405</v>
      </c>
      <c r="S11" s="17">
        <v>465</v>
      </c>
      <c r="T11" s="17">
        <f t="shared" si="3"/>
        <v>470</v>
      </c>
      <c r="U11" s="17">
        <v>380</v>
      </c>
      <c r="V11" s="18">
        <v>8</v>
      </c>
      <c r="W11" s="18">
        <v>4</v>
      </c>
      <c r="X11" s="21">
        <v>10</v>
      </c>
      <c r="Y11">
        <v>150</v>
      </c>
      <c r="AD11">
        <f t="shared" si="4"/>
        <v>0</v>
      </c>
      <c r="AI11">
        <f t="shared" si="6"/>
        <v>0</v>
      </c>
      <c r="AJ11">
        <f t="shared" si="7"/>
        <v>-25</v>
      </c>
    </row>
    <row r="12" spans="1:38" s="42" customFormat="1" x14ac:dyDescent="0.45">
      <c r="B12" s="43">
        <v>10</v>
      </c>
      <c r="C12" s="32">
        <v>350</v>
      </c>
      <c r="D12" s="33">
        <v>3</v>
      </c>
      <c r="E12" s="33">
        <v>3</v>
      </c>
      <c r="F12" s="33">
        <v>4</v>
      </c>
      <c r="G12" s="11">
        <v>19</v>
      </c>
      <c r="H12" s="11">
        <f t="shared" si="0"/>
        <v>22</v>
      </c>
      <c r="I12" s="32">
        <v>22</v>
      </c>
      <c r="J12" s="10">
        <f t="shared" si="1"/>
        <v>25</v>
      </c>
      <c r="K12" s="32">
        <v>4</v>
      </c>
      <c r="L12" s="34">
        <v>3</v>
      </c>
      <c r="M12" s="35" t="s">
        <v>2047</v>
      </c>
      <c r="N12" s="35">
        <f t="shared" si="2"/>
        <v>89</v>
      </c>
      <c r="O12" s="35">
        <v>16</v>
      </c>
      <c r="P12" s="36">
        <v>16</v>
      </c>
      <c r="Q12" s="37">
        <f t="shared" si="8"/>
        <v>358</v>
      </c>
      <c r="R12" s="38">
        <v>425</v>
      </c>
      <c r="S12" s="39">
        <v>475</v>
      </c>
      <c r="T12" s="17">
        <f t="shared" si="3"/>
        <v>480</v>
      </c>
      <c r="U12" s="39">
        <v>390</v>
      </c>
      <c r="V12" s="40">
        <v>8</v>
      </c>
      <c r="W12" s="40">
        <v>4</v>
      </c>
      <c r="X12" s="41">
        <v>10</v>
      </c>
      <c r="Y12" s="42">
        <v>150</v>
      </c>
      <c r="Z12" s="42">
        <v>350</v>
      </c>
      <c r="AA12" s="42">
        <v>12</v>
      </c>
      <c r="AB12" s="42">
        <v>320</v>
      </c>
      <c r="AC12" s="42">
        <v>827</v>
      </c>
      <c r="AD12" s="42">
        <f t="shared" si="4"/>
        <v>320</v>
      </c>
      <c r="AE12" s="42">
        <f t="shared" si="5"/>
        <v>802</v>
      </c>
      <c r="AF12" s="42">
        <v>8</v>
      </c>
      <c r="AG12" s="42">
        <v>152</v>
      </c>
      <c r="AH12" s="42">
        <v>733</v>
      </c>
      <c r="AI12" s="42">
        <f t="shared" si="6"/>
        <v>152</v>
      </c>
      <c r="AJ12" s="42">
        <f t="shared" si="7"/>
        <v>708</v>
      </c>
      <c r="AK12" s="42">
        <v>8</v>
      </c>
      <c r="AL12" s="42">
        <v>1</v>
      </c>
    </row>
    <row r="13" spans="1:38" s="42" customFormat="1" x14ac:dyDescent="0.45">
      <c r="B13" s="31">
        <v>11</v>
      </c>
      <c r="C13" s="32">
        <v>360</v>
      </c>
      <c r="D13" s="33">
        <v>3</v>
      </c>
      <c r="E13" s="33">
        <v>3</v>
      </c>
      <c r="F13" s="33">
        <v>4</v>
      </c>
      <c r="G13" s="11">
        <v>19</v>
      </c>
      <c r="H13" s="11">
        <f t="shared" si="0"/>
        <v>22</v>
      </c>
      <c r="I13" s="32">
        <v>22</v>
      </c>
      <c r="J13" s="10">
        <f t="shared" si="1"/>
        <v>25</v>
      </c>
      <c r="K13" s="32">
        <v>4</v>
      </c>
      <c r="L13" s="34">
        <v>3</v>
      </c>
      <c r="M13" s="35" t="s">
        <v>2047</v>
      </c>
      <c r="N13" s="35">
        <f t="shared" si="2"/>
        <v>89</v>
      </c>
      <c r="O13" s="35">
        <v>16</v>
      </c>
      <c r="P13" s="36">
        <v>16</v>
      </c>
      <c r="Q13" s="37">
        <f t="shared" si="8"/>
        <v>368</v>
      </c>
      <c r="R13" s="38">
        <v>430</v>
      </c>
      <c r="S13" s="39">
        <v>485</v>
      </c>
      <c r="T13" s="17">
        <f t="shared" si="3"/>
        <v>490</v>
      </c>
      <c r="U13" s="39">
        <v>400</v>
      </c>
      <c r="V13" s="40">
        <v>8</v>
      </c>
      <c r="W13" s="40">
        <v>4</v>
      </c>
      <c r="X13" s="41">
        <v>10</v>
      </c>
      <c r="Y13" s="42">
        <v>150</v>
      </c>
      <c r="Z13" s="42">
        <v>350</v>
      </c>
      <c r="AA13" s="42">
        <v>12</v>
      </c>
      <c r="AB13" s="42">
        <v>320</v>
      </c>
      <c r="AC13" s="42">
        <v>838</v>
      </c>
      <c r="AD13" s="42">
        <f t="shared" si="4"/>
        <v>320</v>
      </c>
      <c r="AE13" s="42">
        <f t="shared" si="5"/>
        <v>813</v>
      </c>
      <c r="AF13" s="42">
        <v>8</v>
      </c>
      <c r="AG13" s="42">
        <v>152</v>
      </c>
      <c r="AH13" s="42">
        <v>747</v>
      </c>
      <c r="AI13" s="42">
        <f t="shared" si="6"/>
        <v>152</v>
      </c>
      <c r="AJ13" s="42">
        <f t="shared" si="7"/>
        <v>722</v>
      </c>
      <c r="AK13" s="42">
        <v>8</v>
      </c>
      <c r="AL13" s="42">
        <v>1</v>
      </c>
    </row>
    <row r="14" spans="1:38" s="42" customFormat="1" x14ac:dyDescent="0.45">
      <c r="B14" s="43">
        <v>12</v>
      </c>
      <c r="C14" s="32">
        <v>370</v>
      </c>
      <c r="D14" s="33">
        <v>3</v>
      </c>
      <c r="E14" s="33">
        <v>3</v>
      </c>
      <c r="F14" s="33">
        <v>4</v>
      </c>
      <c r="G14" s="33">
        <v>19</v>
      </c>
      <c r="H14" s="11">
        <f t="shared" si="0"/>
        <v>22</v>
      </c>
      <c r="I14" s="32">
        <v>25</v>
      </c>
      <c r="J14" s="10">
        <f t="shared" si="1"/>
        <v>28</v>
      </c>
      <c r="K14" s="32">
        <v>4</v>
      </c>
      <c r="L14" s="34">
        <v>3</v>
      </c>
      <c r="M14" s="35" t="s">
        <v>2047</v>
      </c>
      <c r="N14" s="35">
        <f>G14+I14+15+P14+14</f>
        <v>89</v>
      </c>
      <c r="O14" s="35">
        <v>20</v>
      </c>
      <c r="P14" s="36">
        <v>16</v>
      </c>
      <c r="Q14" s="37">
        <f t="shared" si="8"/>
        <v>378</v>
      </c>
      <c r="R14" s="38">
        <v>445</v>
      </c>
      <c r="S14" s="39">
        <v>495</v>
      </c>
      <c r="T14" s="17">
        <f t="shared" si="3"/>
        <v>500</v>
      </c>
      <c r="U14" s="39">
        <v>410</v>
      </c>
      <c r="V14" s="40">
        <v>8</v>
      </c>
      <c r="W14" s="40">
        <v>4</v>
      </c>
      <c r="X14" s="41">
        <v>10</v>
      </c>
      <c r="Y14" s="42">
        <v>150</v>
      </c>
      <c r="Z14" s="42">
        <v>350</v>
      </c>
      <c r="AA14" s="42">
        <v>12</v>
      </c>
      <c r="AB14" s="42">
        <v>320</v>
      </c>
      <c r="AC14" s="42">
        <v>838</v>
      </c>
      <c r="AD14" s="42">
        <f t="shared" si="4"/>
        <v>320</v>
      </c>
      <c r="AE14" s="42">
        <f t="shared" si="5"/>
        <v>813</v>
      </c>
      <c r="AF14" s="42">
        <v>8</v>
      </c>
      <c r="AG14" s="42">
        <v>152</v>
      </c>
      <c r="AH14" s="42">
        <v>747</v>
      </c>
      <c r="AI14" s="42">
        <f t="shared" si="6"/>
        <v>152</v>
      </c>
      <c r="AJ14" s="42">
        <f t="shared" si="7"/>
        <v>722</v>
      </c>
      <c r="AK14" s="42">
        <v>8</v>
      </c>
      <c r="AL14" s="42">
        <v>1</v>
      </c>
    </row>
    <row r="15" spans="1:38" s="42" customFormat="1" x14ac:dyDescent="0.45">
      <c r="B15" s="31">
        <v>13</v>
      </c>
      <c r="C15" s="32">
        <v>380</v>
      </c>
      <c r="D15" s="33">
        <v>3</v>
      </c>
      <c r="E15" s="33">
        <v>3</v>
      </c>
      <c r="F15" s="33">
        <v>4</v>
      </c>
      <c r="G15" s="33">
        <v>19</v>
      </c>
      <c r="H15" s="11">
        <f t="shared" si="0"/>
        <v>22</v>
      </c>
      <c r="I15" s="32">
        <v>25</v>
      </c>
      <c r="J15" s="10">
        <f t="shared" si="1"/>
        <v>28</v>
      </c>
      <c r="K15" s="32">
        <v>4</v>
      </c>
      <c r="L15" s="34">
        <v>3</v>
      </c>
      <c r="M15" s="35" t="s">
        <v>2047</v>
      </c>
      <c r="N15" s="35">
        <f>G15+I15+15+P15+14</f>
        <v>89</v>
      </c>
      <c r="O15" s="35">
        <v>20</v>
      </c>
      <c r="P15" s="36">
        <v>16</v>
      </c>
      <c r="Q15" s="37">
        <f t="shared" si="8"/>
        <v>388</v>
      </c>
      <c r="R15" s="38">
        <v>455</v>
      </c>
      <c r="S15" s="39">
        <v>505</v>
      </c>
      <c r="T15" s="17">
        <f t="shared" si="3"/>
        <v>510</v>
      </c>
      <c r="U15" s="39">
        <v>420</v>
      </c>
      <c r="V15" s="40">
        <v>8</v>
      </c>
      <c r="W15" s="40">
        <v>4</v>
      </c>
      <c r="X15" s="41">
        <v>10</v>
      </c>
      <c r="Y15" s="42">
        <v>150</v>
      </c>
      <c r="Z15" s="42">
        <v>375</v>
      </c>
      <c r="AA15" s="42">
        <v>12</v>
      </c>
      <c r="AB15" s="42">
        <v>345</v>
      </c>
      <c r="AC15" s="42">
        <v>833</v>
      </c>
      <c r="AD15" s="42">
        <f t="shared" si="4"/>
        <v>345</v>
      </c>
      <c r="AE15" s="42">
        <f t="shared" si="5"/>
        <v>808</v>
      </c>
      <c r="AF15" s="42">
        <v>8</v>
      </c>
      <c r="AG15" s="42">
        <v>152</v>
      </c>
      <c r="AH15" s="42">
        <v>734</v>
      </c>
      <c r="AI15" s="42">
        <f t="shared" si="6"/>
        <v>152</v>
      </c>
      <c r="AJ15" s="42">
        <f t="shared" si="7"/>
        <v>709</v>
      </c>
      <c r="AK15" s="42">
        <v>8</v>
      </c>
      <c r="AL15" s="42">
        <v>1</v>
      </c>
    </row>
    <row r="16" spans="1:38" s="42" customFormat="1" x14ac:dyDescent="0.45">
      <c r="B16" s="43">
        <v>14</v>
      </c>
      <c r="C16" s="32">
        <v>390</v>
      </c>
      <c r="D16" s="33">
        <v>3</v>
      </c>
      <c r="E16" s="33">
        <v>3</v>
      </c>
      <c r="F16" s="33">
        <v>4</v>
      </c>
      <c r="G16" s="33">
        <v>19</v>
      </c>
      <c r="H16" s="11">
        <f t="shared" si="0"/>
        <v>22</v>
      </c>
      <c r="I16" s="32">
        <v>25</v>
      </c>
      <c r="J16" s="10">
        <f t="shared" si="1"/>
        <v>28</v>
      </c>
      <c r="K16" s="32">
        <v>4</v>
      </c>
      <c r="L16" s="34">
        <v>3</v>
      </c>
      <c r="M16" s="35" t="s">
        <v>2047</v>
      </c>
      <c r="N16" s="35">
        <f>G16+I16+15+P16+14</f>
        <v>89</v>
      </c>
      <c r="O16" s="35">
        <v>20</v>
      </c>
      <c r="P16" s="36">
        <v>16</v>
      </c>
      <c r="Q16" s="37">
        <f t="shared" si="8"/>
        <v>398</v>
      </c>
      <c r="R16" s="38">
        <f>U16+2*E16+3+P16</f>
        <v>455</v>
      </c>
      <c r="S16" s="39">
        <v>515</v>
      </c>
      <c r="T16" s="17">
        <f t="shared" si="3"/>
        <v>520</v>
      </c>
      <c r="U16" s="39">
        <v>430</v>
      </c>
      <c r="V16" s="40">
        <v>8</v>
      </c>
      <c r="W16" s="40">
        <v>4</v>
      </c>
      <c r="X16" s="41">
        <v>10</v>
      </c>
      <c r="Y16" s="42">
        <v>150</v>
      </c>
      <c r="Z16" s="42">
        <v>375</v>
      </c>
      <c r="AA16" s="42">
        <v>12</v>
      </c>
      <c r="AB16" s="42">
        <v>345</v>
      </c>
      <c r="AC16" s="42">
        <v>833</v>
      </c>
      <c r="AD16" s="42">
        <f t="shared" si="4"/>
        <v>345</v>
      </c>
      <c r="AE16" s="42">
        <f t="shared" si="5"/>
        <v>808</v>
      </c>
      <c r="AF16" s="42">
        <v>8</v>
      </c>
      <c r="AG16" s="42">
        <v>152</v>
      </c>
      <c r="AH16" s="42">
        <v>735</v>
      </c>
      <c r="AI16" s="42">
        <f t="shared" si="6"/>
        <v>152</v>
      </c>
      <c r="AJ16" s="42">
        <f t="shared" si="7"/>
        <v>710</v>
      </c>
      <c r="AK16" s="42">
        <v>8</v>
      </c>
      <c r="AL16" s="42">
        <v>1</v>
      </c>
    </row>
    <row r="17" spans="2:38" s="42" customFormat="1" x14ac:dyDescent="0.45">
      <c r="B17" s="31">
        <v>15</v>
      </c>
      <c r="C17" s="32">
        <v>400</v>
      </c>
      <c r="D17" s="33">
        <v>3</v>
      </c>
      <c r="E17" s="33">
        <v>3</v>
      </c>
      <c r="F17" s="33">
        <v>4</v>
      </c>
      <c r="G17" s="33">
        <v>19</v>
      </c>
      <c r="H17" s="11">
        <f t="shared" si="0"/>
        <v>22</v>
      </c>
      <c r="I17" s="32">
        <v>25</v>
      </c>
      <c r="J17" s="10">
        <f t="shared" si="1"/>
        <v>28</v>
      </c>
      <c r="K17" s="32">
        <v>4</v>
      </c>
      <c r="L17" s="34">
        <v>3</v>
      </c>
      <c r="M17" s="35" t="s">
        <v>1903</v>
      </c>
      <c r="N17" s="35">
        <f t="shared" si="2"/>
        <v>94</v>
      </c>
      <c r="O17" s="35">
        <v>16</v>
      </c>
      <c r="P17" s="36">
        <v>18</v>
      </c>
      <c r="Q17" s="37">
        <f t="shared" si="8"/>
        <v>408</v>
      </c>
      <c r="R17" s="38">
        <v>475</v>
      </c>
      <c r="S17" s="39">
        <v>525</v>
      </c>
      <c r="T17" s="17">
        <f t="shared" si="3"/>
        <v>530</v>
      </c>
      <c r="U17" s="39">
        <v>440</v>
      </c>
      <c r="V17" s="40">
        <v>8</v>
      </c>
      <c r="W17" s="40">
        <v>4</v>
      </c>
      <c r="X17" s="41">
        <v>10</v>
      </c>
      <c r="Y17" s="42">
        <v>150</v>
      </c>
      <c r="Z17" s="42">
        <v>400</v>
      </c>
      <c r="AA17" s="42">
        <v>12</v>
      </c>
      <c r="AB17" s="42">
        <v>350</v>
      </c>
      <c r="AC17" s="42">
        <v>832</v>
      </c>
      <c r="AD17" s="42">
        <f t="shared" si="4"/>
        <v>350</v>
      </c>
      <c r="AE17" s="42">
        <f t="shared" si="5"/>
        <v>807</v>
      </c>
      <c r="AF17" s="42">
        <v>8</v>
      </c>
      <c r="AG17" s="42">
        <v>152</v>
      </c>
      <c r="AH17" s="42">
        <v>735</v>
      </c>
      <c r="AI17" s="42">
        <f t="shared" si="6"/>
        <v>152</v>
      </c>
      <c r="AJ17" s="42">
        <f t="shared" si="7"/>
        <v>710</v>
      </c>
      <c r="AK17" s="42">
        <v>8</v>
      </c>
      <c r="AL17" s="42">
        <v>1</v>
      </c>
    </row>
    <row r="18" spans="2:38" s="42" customFormat="1" x14ac:dyDescent="0.45">
      <c r="B18" s="43">
        <v>16</v>
      </c>
      <c r="C18" s="32">
        <v>410</v>
      </c>
      <c r="D18" s="33">
        <v>3</v>
      </c>
      <c r="E18" s="33">
        <v>3</v>
      </c>
      <c r="F18" s="33">
        <v>4</v>
      </c>
      <c r="G18" s="33">
        <v>19</v>
      </c>
      <c r="H18" s="11">
        <f t="shared" si="0"/>
        <v>22</v>
      </c>
      <c r="I18" s="32">
        <v>25</v>
      </c>
      <c r="J18" s="10">
        <f t="shared" si="1"/>
        <v>28</v>
      </c>
      <c r="K18" s="32">
        <v>4</v>
      </c>
      <c r="L18" s="34">
        <v>3</v>
      </c>
      <c r="M18" s="35" t="s">
        <v>1903</v>
      </c>
      <c r="N18" s="35">
        <f t="shared" si="2"/>
        <v>94</v>
      </c>
      <c r="O18" s="35">
        <v>16</v>
      </c>
      <c r="P18" s="36">
        <v>18</v>
      </c>
      <c r="Q18" s="37">
        <f t="shared" si="8"/>
        <v>418</v>
      </c>
      <c r="R18" s="38">
        <v>490</v>
      </c>
      <c r="S18" s="39">
        <f t="shared" ref="S18:S38" si="9">R18+45</f>
        <v>535</v>
      </c>
      <c r="T18" s="17">
        <f t="shared" si="3"/>
        <v>540</v>
      </c>
      <c r="U18" s="39">
        <v>450</v>
      </c>
      <c r="V18" s="40">
        <v>10</v>
      </c>
      <c r="W18" s="40">
        <v>6</v>
      </c>
      <c r="X18" s="41">
        <v>10</v>
      </c>
      <c r="Y18" s="42">
        <v>150</v>
      </c>
      <c r="Z18" s="42">
        <v>400</v>
      </c>
      <c r="AA18" s="42">
        <v>12</v>
      </c>
      <c r="AB18" s="42">
        <v>350</v>
      </c>
      <c r="AC18" s="42">
        <v>828</v>
      </c>
      <c r="AD18" s="42">
        <f t="shared" si="4"/>
        <v>350</v>
      </c>
      <c r="AE18" s="42">
        <f t="shared" si="5"/>
        <v>803</v>
      </c>
      <c r="AF18" s="42">
        <v>8</v>
      </c>
      <c r="AG18" s="42">
        <v>152</v>
      </c>
      <c r="AH18" s="42">
        <v>735</v>
      </c>
      <c r="AI18" s="42">
        <f t="shared" si="6"/>
        <v>152</v>
      </c>
      <c r="AJ18" s="42">
        <f t="shared" si="7"/>
        <v>710</v>
      </c>
      <c r="AK18" s="42">
        <v>8</v>
      </c>
      <c r="AL18" s="42">
        <v>1</v>
      </c>
    </row>
    <row r="19" spans="2:38" s="42" customFormat="1" x14ac:dyDescent="0.45">
      <c r="B19" s="31">
        <v>17</v>
      </c>
      <c r="C19" s="32">
        <v>420</v>
      </c>
      <c r="D19" s="33">
        <v>3</v>
      </c>
      <c r="E19" s="33">
        <v>3</v>
      </c>
      <c r="F19" s="33">
        <v>4</v>
      </c>
      <c r="G19" s="33">
        <v>19</v>
      </c>
      <c r="H19" s="11">
        <f t="shared" si="0"/>
        <v>22</v>
      </c>
      <c r="I19" s="32">
        <v>25</v>
      </c>
      <c r="J19" s="10">
        <f t="shared" si="1"/>
        <v>28</v>
      </c>
      <c r="K19" s="32">
        <v>4</v>
      </c>
      <c r="L19" s="34">
        <v>3</v>
      </c>
      <c r="M19" s="35" t="s">
        <v>1903</v>
      </c>
      <c r="N19" s="35">
        <f t="shared" si="2"/>
        <v>94</v>
      </c>
      <c r="O19" s="35">
        <v>16</v>
      </c>
      <c r="P19" s="36">
        <v>18</v>
      </c>
      <c r="Q19" s="37">
        <f t="shared" si="8"/>
        <v>428</v>
      </c>
      <c r="R19" s="38">
        <v>495</v>
      </c>
      <c r="S19" s="39">
        <v>545</v>
      </c>
      <c r="T19" s="17">
        <f t="shared" si="3"/>
        <v>550</v>
      </c>
      <c r="U19" s="39">
        <v>468</v>
      </c>
      <c r="V19" s="40">
        <v>10</v>
      </c>
      <c r="W19" s="40">
        <v>6</v>
      </c>
      <c r="X19" s="41">
        <v>10</v>
      </c>
      <c r="Y19" s="42">
        <v>150</v>
      </c>
      <c r="Z19" s="42">
        <v>425</v>
      </c>
      <c r="AA19" s="42">
        <v>12</v>
      </c>
      <c r="AB19" s="42">
        <v>375</v>
      </c>
      <c r="AC19" s="42">
        <v>844</v>
      </c>
      <c r="AD19" s="42">
        <f t="shared" si="4"/>
        <v>375</v>
      </c>
      <c r="AE19" s="42">
        <f t="shared" si="5"/>
        <v>819</v>
      </c>
      <c r="AF19" s="42">
        <v>8</v>
      </c>
      <c r="AG19" s="42">
        <v>152</v>
      </c>
      <c r="AH19" s="42">
        <v>738</v>
      </c>
      <c r="AI19" s="42">
        <f t="shared" si="6"/>
        <v>152</v>
      </c>
      <c r="AJ19" s="42">
        <f t="shared" si="7"/>
        <v>713</v>
      </c>
      <c r="AK19" s="42">
        <v>8</v>
      </c>
      <c r="AL19" s="42">
        <v>1</v>
      </c>
    </row>
    <row r="20" spans="2:38" s="42" customFormat="1" x14ac:dyDescent="0.45">
      <c r="B20" s="43">
        <v>18</v>
      </c>
      <c r="C20" s="32">
        <v>430</v>
      </c>
      <c r="D20" s="33">
        <v>3</v>
      </c>
      <c r="E20" s="33">
        <v>3</v>
      </c>
      <c r="F20" s="33">
        <v>4</v>
      </c>
      <c r="G20" s="33">
        <v>19</v>
      </c>
      <c r="H20" s="11">
        <f t="shared" si="0"/>
        <v>22</v>
      </c>
      <c r="I20" s="32">
        <v>25</v>
      </c>
      <c r="J20" s="10">
        <f t="shared" si="1"/>
        <v>28</v>
      </c>
      <c r="K20" s="32">
        <v>4</v>
      </c>
      <c r="L20" s="34">
        <v>3</v>
      </c>
      <c r="M20" s="35" t="s">
        <v>1903</v>
      </c>
      <c r="N20" s="35">
        <f t="shared" si="2"/>
        <v>94</v>
      </c>
      <c r="O20" s="35">
        <v>20</v>
      </c>
      <c r="P20" s="36">
        <v>18</v>
      </c>
      <c r="Q20" s="37">
        <f t="shared" si="8"/>
        <v>438</v>
      </c>
      <c r="R20" s="38">
        <v>510</v>
      </c>
      <c r="S20" s="39">
        <f t="shared" si="9"/>
        <v>555</v>
      </c>
      <c r="T20" s="17">
        <f t="shared" si="3"/>
        <v>560</v>
      </c>
      <c r="U20" s="39">
        <v>460</v>
      </c>
      <c r="V20" s="40">
        <v>10</v>
      </c>
      <c r="W20" s="40">
        <v>6</v>
      </c>
      <c r="X20" s="41">
        <v>10</v>
      </c>
      <c r="Y20" s="42">
        <v>150</v>
      </c>
      <c r="Z20" s="42">
        <v>435</v>
      </c>
      <c r="AA20" s="42">
        <v>12</v>
      </c>
      <c r="AB20" s="42">
        <v>380</v>
      </c>
      <c r="AC20" s="42">
        <v>846</v>
      </c>
      <c r="AD20" s="42">
        <f t="shared" si="4"/>
        <v>380</v>
      </c>
      <c r="AE20" s="42">
        <f t="shared" si="5"/>
        <v>821</v>
      </c>
      <c r="AF20" s="42">
        <v>8</v>
      </c>
      <c r="AG20" s="42">
        <v>152</v>
      </c>
      <c r="AH20" s="42">
        <v>735</v>
      </c>
      <c r="AI20" s="42">
        <f t="shared" si="6"/>
        <v>152</v>
      </c>
      <c r="AJ20" s="42">
        <f t="shared" si="7"/>
        <v>710</v>
      </c>
      <c r="AK20" s="42">
        <v>8</v>
      </c>
      <c r="AL20" s="42">
        <v>1</v>
      </c>
    </row>
    <row r="21" spans="2:38" s="42" customFormat="1" x14ac:dyDescent="0.45">
      <c r="B21" s="31">
        <v>19</v>
      </c>
      <c r="C21" s="32">
        <v>440</v>
      </c>
      <c r="D21" s="33">
        <v>3</v>
      </c>
      <c r="E21" s="33">
        <v>3</v>
      </c>
      <c r="F21" s="33">
        <v>4</v>
      </c>
      <c r="G21" s="33">
        <v>19</v>
      </c>
      <c r="H21" s="11">
        <f t="shared" si="0"/>
        <v>22</v>
      </c>
      <c r="I21" s="32">
        <v>25</v>
      </c>
      <c r="J21" s="10">
        <f t="shared" si="1"/>
        <v>28</v>
      </c>
      <c r="K21" s="32">
        <v>4</v>
      </c>
      <c r="L21" s="34">
        <v>3</v>
      </c>
      <c r="M21" s="35" t="s">
        <v>1903</v>
      </c>
      <c r="N21" s="35">
        <f t="shared" si="2"/>
        <v>94</v>
      </c>
      <c r="O21" s="35">
        <v>20</v>
      </c>
      <c r="P21" s="36">
        <v>18</v>
      </c>
      <c r="Q21" s="37">
        <f t="shared" si="8"/>
        <v>448</v>
      </c>
      <c r="R21" s="38">
        <v>515</v>
      </c>
      <c r="S21" s="39">
        <v>565</v>
      </c>
      <c r="T21" s="17">
        <f t="shared" si="3"/>
        <v>570</v>
      </c>
      <c r="U21" s="39">
        <v>480</v>
      </c>
      <c r="V21" s="40">
        <v>10</v>
      </c>
      <c r="W21" s="40">
        <v>6</v>
      </c>
      <c r="X21" s="41">
        <v>10</v>
      </c>
      <c r="Y21" s="44">
        <v>150</v>
      </c>
      <c r="Z21" s="44">
        <v>450</v>
      </c>
      <c r="AA21" s="44">
        <v>12</v>
      </c>
      <c r="AB21" s="44">
        <v>410</v>
      </c>
      <c r="AC21" s="44">
        <v>862</v>
      </c>
      <c r="AD21" s="42">
        <f t="shared" si="4"/>
        <v>410</v>
      </c>
      <c r="AE21" s="42">
        <f t="shared" si="5"/>
        <v>837</v>
      </c>
      <c r="AF21" s="44">
        <v>8</v>
      </c>
      <c r="AG21" s="44">
        <v>152</v>
      </c>
      <c r="AH21" s="44">
        <v>784</v>
      </c>
      <c r="AI21" s="42">
        <f t="shared" si="6"/>
        <v>152</v>
      </c>
      <c r="AJ21" s="42">
        <f t="shared" si="7"/>
        <v>759</v>
      </c>
      <c r="AK21" s="44">
        <v>8</v>
      </c>
      <c r="AL21" s="44">
        <v>2</v>
      </c>
    </row>
    <row r="22" spans="2:38" s="42" customFormat="1" x14ac:dyDescent="0.45">
      <c r="B22" s="43">
        <v>20</v>
      </c>
      <c r="C22" s="32">
        <v>450</v>
      </c>
      <c r="D22" s="33">
        <v>3</v>
      </c>
      <c r="E22" s="33">
        <v>3</v>
      </c>
      <c r="F22" s="33">
        <v>4</v>
      </c>
      <c r="G22" s="33">
        <v>19</v>
      </c>
      <c r="H22" s="11">
        <f t="shared" si="0"/>
        <v>22</v>
      </c>
      <c r="I22" s="32">
        <v>25</v>
      </c>
      <c r="J22" s="10">
        <f t="shared" si="1"/>
        <v>28</v>
      </c>
      <c r="K22" s="32">
        <v>4</v>
      </c>
      <c r="L22" s="34">
        <v>3</v>
      </c>
      <c r="M22" s="35" t="s">
        <v>1903</v>
      </c>
      <c r="N22" s="35">
        <f t="shared" si="2"/>
        <v>94</v>
      </c>
      <c r="O22" s="35">
        <v>20</v>
      </c>
      <c r="P22" s="36">
        <v>18</v>
      </c>
      <c r="Q22" s="37">
        <f t="shared" si="8"/>
        <v>458</v>
      </c>
      <c r="R22" s="38">
        <v>525</v>
      </c>
      <c r="S22" s="39">
        <v>575</v>
      </c>
      <c r="T22" s="17">
        <f t="shared" si="3"/>
        <v>580</v>
      </c>
      <c r="U22" s="39">
        <v>490</v>
      </c>
      <c r="V22" s="40">
        <v>10</v>
      </c>
      <c r="W22" s="40">
        <v>6</v>
      </c>
      <c r="X22" s="41">
        <v>10</v>
      </c>
      <c r="Y22" s="42">
        <v>150</v>
      </c>
      <c r="Z22" s="42">
        <v>450</v>
      </c>
      <c r="AA22" s="42">
        <v>12</v>
      </c>
      <c r="AB22" s="42">
        <v>410</v>
      </c>
      <c r="AC22" s="42">
        <v>860</v>
      </c>
      <c r="AD22" s="42">
        <f t="shared" si="4"/>
        <v>410</v>
      </c>
      <c r="AE22" s="42">
        <f t="shared" si="5"/>
        <v>835</v>
      </c>
      <c r="AF22" s="42">
        <v>8</v>
      </c>
      <c r="AG22" s="42">
        <v>152</v>
      </c>
      <c r="AH22" s="42">
        <v>785</v>
      </c>
      <c r="AI22" s="42">
        <f t="shared" si="6"/>
        <v>152</v>
      </c>
      <c r="AJ22" s="42">
        <f t="shared" si="7"/>
        <v>760</v>
      </c>
      <c r="AK22" s="42">
        <v>8</v>
      </c>
      <c r="AL22" s="42">
        <v>2</v>
      </c>
    </row>
    <row r="23" spans="2:38" s="42" customFormat="1" x14ac:dyDescent="0.45">
      <c r="B23" s="31">
        <v>21</v>
      </c>
      <c r="C23" s="32">
        <v>460</v>
      </c>
      <c r="D23" s="33">
        <v>3</v>
      </c>
      <c r="E23" s="33">
        <v>3</v>
      </c>
      <c r="F23" s="33">
        <v>4</v>
      </c>
      <c r="G23" s="33">
        <v>19</v>
      </c>
      <c r="H23" s="11">
        <f t="shared" si="0"/>
        <v>22</v>
      </c>
      <c r="I23" s="32">
        <v>25</v>
      </c>
      <c r="J23" s="10">
        <f t="shared" si="1"/>
        <v>28</v>
      </c>
      <c r="K23" s="32">
        <v>4</v>
      </c>
      <c r="L23" s="34">
        <v>3</v>
      </c>
      <c r="M23" s="35" t="s">
        <v>1903</v>
      </c>
      <c r="N23" s="35">
        <f t="shared" si="2"/>
        <v>94</v>
      </c>
      <c r="O23" s="35">
        <v>20</v>
      </c>
      <c r="P23" s="36">
        <v>18</v>
      </c>
      <c r="Q23" s="37">
        <f t="shared" si="8"/>
        <v>468</v>
      </c>
      <c r="R23" s="38">
        <v>535</v>
      </c>
      <c r="S23" s="39">
        <v>585</v>
      </c>
      <c r="T23" s="17">
        <f t="shared" si="3"/>
        <v>590</v>
      </c>
      <c r="U23" s="39">
        <v>500</v>
      </c>
      <c r="V23" s="40">
        <v>10</v>
      </c>
      <c r="W23" s="40">
        <v>6</v>
      </c>
      <c r="X23" s="41">
        <v>10</v>
      </c>
      <c r="Y23" s="42">
        <v>150</v>
      </c>
      <c r="Z23" s="42">
        <v>450</v>
      </c>
      <c r="AA23" s="42">
        <v>12</v>
      </c>
      <c r="AB23" s="42">
        <v>410</v>
      </c>
      <c r="AC23" s="42">
        <v>854</v>
      </c>
      <c r="AD23" s="42">
        <f t="shared" si="4"/>
        <v>410</v>
      </c>
      <c r="AE23" s="42">
        <f t="shared" si="5"/>
        <v>829</v>
      </c>
      <c r="AF23" s="42">
        <v>8</v>
      </c>
      <c r="AG23" s="42">
        <v>152</v>
      </c>
      <c r="AH23" s="42">
        <v>783</v>
      </c>
      <c r="AI23" s="42">
        <f t="shared" si="6"/>
        <v>152</v>
      </c>
      <c r="AJ23" s="42">
        <f t="shared" si="7"/>
        <v>758</v>
      </c>
      <c r="AK23" s="42">
        <v>8</v>
      </c>
      <c r="AL23" s="42">
        <v>2</v>
      </c>
    </row>
    <row r="24" spans="2:38" s="42" customFormat="1" x14ac:dyDescent="0.45">
      <c r="B24" s="43">
        <v>22</v>
      </c>
      <c r="C24" s="32">
        <v>470</v>
      </c>
      <c r="D24" s="33">
        <v>3</v>
      </c>
      <c r="E24" s="33">
        <v>3</v>
      </c>
      <c r="F24" s="33">
        <v>4</v>
      </c>
      <c r="G24" s="33">
        <v>19</v>
      </c>
      <c r="H24" s="11">
        <f t="shared" si="0"/>
        <v>22</v>
      </c>
      <c r="I24" s="32">
        <v>25</v>
      </c>
      <c r="J24" s="10">
        <f t="shared" si="1"/>
        <v>28</v>
      </c>
      <c r="K24" s="32">
        <v>4</v>
      </c>
      <c r="L24" s="34">
        <v>3</v>
      </c>
      <c r="M24" s="35" t="s">
        <v>1903</v>
      </c>
      <c r="N24" s="35">
        <f t="shared" si="2"/>
        <v>94</v>
      </c>
      <c r="O24" s="35">
        <v>20</v>
      </c>
      <c r="P24" s="36">
        <v>18</v>
      </c>
      <c r="Q24" s="37">
        <f t="shared" si="8"/>
        <v>478</v>
      </c>
      <c r="R24" s="38">
        <v>550</v>
      </c>
      <c r="S24" s="39">
        <f t="shared" si="9"/>
        <v>595</v>
      </c>
      <c r="T24" s="17">
        <f t="shared" si="3"/>
        <v>600</v>
      </c>
      <c r="U24" s="39">
        <v>510</v>
      </c>
      <c r="V24" s="40">
        <v>10</v>
      </c>
      <c r="W24" s="40">
        <v>6</v>
      </c>
      <c r="X24" s="41">
        <v>10</v>
      </c>
      <c r="Y24" s="42">
        <v>150</v>
      </c>
      <c r="Z24" s="42">
        <v>450</v>
      </c>
      <c r="AA24" s="42">
        <v>12</v>
      </c>
      <c r="AB24" s="42">
        <v>410</v>
      </c>
      <c r="AC24" s="42">
        <v>849</v>
      </c>
      <c r="AD24" s="42">
        <f t="shared" si="4"/>
        <v>410</v>
      </c>
      <c r="AE24" s="42">
        <f t="shared" si="5"/>
        <v>824</v>
      </c>
      <c r="AF24" s="42">
        <v>8</v>
      </c>
      <c r="AG24" s="42">
        <v>152</v>
      </c>
      <c r="AH24" s="42">
        <v>782</v>
      </c>
      <c r="AI24" s="42">
        <f t="shared" si="6"/>
        <v>152</v>
      </c>
      <c r="AJ24" s="42">
        <f t="shared" si="7"/>
        <v>757</v>
      </c>
      <c r="AK24" s="42">
        <v>8</v>
      </c>
      <c r="AL24" s="42">
        <v>2</v>
      </c>
    </row>
    <row r="25" spans="2:38" s="42" customFormat="1" x14ac:dyDescent="0.45">
      <c r="B25" s="31">
        <v>23</v>
      </c>
      <c r="C25" s="32">
        <v>480</v>
      </c>
      <c r="D25" s="33">
        <v>3</v>
      </c>
      <c r="E25" s="33">
        <v>3</v>
      </c>
      <c r="F25" s="33">
        <v>4</v>
      </c>
      <c r="G25" s="33">
        <v>19</v>
      </c>
      <c r="H25" s="11">
        <f t="shared" si="0"/>
        <v>22</v>
      </c>
      <c r="I25" s="32">
        <v>25</v>
      </c>
      <c r="J25" s="10">
        <f t="shared" si="1"/>
        <v>28</v>
      </c>
      <c r="K25" s="32">
        <v>4</v>
      </c>
      <c r="L25" s="34">
        <v>3</v>
      </c>
      <c r="M25" s="35" t="s">
        <v>1903</v>
      </c>
      <c r="N25" s="35">
        <f t="shared" si="2"/>
        <v>94</v>
      </c>
      <c r="O25" s="35">
        <v>20</v>
      </c>
      <c r="P25" s="36">
        <v>18</v>
      </c>
      <c r="Q25" s="37">
        <f t="shared" si="8"/>
        <v>488</v>
      </c>
      <c r="R25" s="38">
        <v>560</v>
      </c>
      <c r="S25" s="39">
        <v>605</v>
      </c>
      <c r="T25" s="17">
        <f t="shared" si="3"/>
        <v>610</v>
      </c>
      <c r="U25" s="39">
        <v>520</v>
      </c>
      <c r="V25" s="40">
        <v>10</v>
      </c>
      <c r="W25" s="40">
        <v>6</v>
      </c>
      <c r="X25" s="41">
        <v>10</v>
      </c>
      <c r="Y25" s="42">
        <v>150</v>
      </c>
      <c r="Z25" s="42">
        <v>500</v>
      </c>
      <c r="AA25" s="42">
        <v>12</v>
      </c>
      <c r="AB25" s="42">
        <v>450</v>
      </c>
      <c r="AC25" s="42">
        <v>878</v>
      </c>
      <c r="AD25" s="42">
        <f t="shared" si="4"/>
        <v>450</v>
      </c>
      <c r="AE25" s="42">
        <f t="shared" si="5"/>
        <v>853</v>
      </c>
      <c r="AF25" s="42">
        <v>8</v>
      </c>
      <c r="AG25" s="42">
        <v>152</v>
      </c>
      <c r="AH25" s="42">
        <v>791</v>
      </c>
      <c r="AI25" s="42">
        <f t="shared" si="6"/>
        <v>152</v>
      </c>
      <c r="AJ25" s="42">
        <f t="shared" si="7"/>
        <v>766</v>
      </c>
      <c r="AK25" s="42">
        <v>8</v>
      </c>
      <c r="AL25" s="42">
        <v>2</v>
      </c>
    </row>
    <row r="26" spans="2:38" s="42" customFormat="1" x14ac:dyDescent="0.45">
      <c r="B26" s="43">
        <v>24</v>
      </c>
      <c r="C26" s="32">
        <v>490</v>
      </c>
      <c r="D26" s="33">
        <v>3</v>
      </c>
      <c r="E26" s="33">
        <v>3</v>
      </c>
      <c r="F26" s="33">
        <v>4</v>
      </c>
      <c r="G26" s="33">
        <v>19</v>
      </c>
      <c r="H26" s="11">
        <f t="shared" si="0"/>
        <v>22</v>
      </c>
      <c r="I26" s="32">
        <v>25</v>
      </c>
      <c r="J26" s="10">
        <f t="shared" si="1"/>
        <v>28</v>
      </c>
      <c r="K26" s="32">
        <v>4</v>
      </c>
      <c r="L26" s="34">
        <v>3</v>
      </c>
      <c r="M26" s="35" t="s">
        <v>1903</v>
      </c>
      <c r="N26" s="35">
        <f t="shared" si="2"/>
        <v>94</v>
      </c>
      <c r="O26" s="35">
        <v>20</v>
      </c>
      <c r="P26" s="36">
        <v>18</v>
      </c>
      <c r="Q26" s="37">
        <f t="shared" si="8"/>
        <v>498</v>
      </c>
      <c r="R26" s="38">
        <v>565</v>
      </c>
      <c r="S26" s="39">
        <v>615</v>
      </c>
      <c r="T26" s="17">
        <f t="shared" si="3"/>
        <v>620</v>
      </c>
      <c r="U26" s="39">
        <v>530</v>
      </c>
      <c r="V26" s="40">
        <v>10</v>
      </c>
      <c r="W26" s="40">
        <v>6</v>
      </c>
      <c r="X26" s="41">
        <v>10</v>
      </c>
      <c r="Y26" s="42">
        <v>150</v>
      </c>
      <c r="Z26" s="42">
        <v>500</v>
      </c>
      <c r="AA26" s="42">
        <v>12</v>
      </c>
      <c r="AB26" s="42">
        <v>450</v>
      </c>
      <c r="AC26" s="42">
        <v>875</v>
      </c>
      <c r="AD26" s="42">
        <f t="shared" si="4"/>
        <v>450</v>
      </c>
      <c r="AE26" s="42">
        <f t="shared" si="5"/>
        <v>850</v>
      </c>
      <c r="AF26" s="42">
        <v>8</v>
      </c>
      <c r="AG26" s="42">
        <v>152</v>
      </c>
      <c r="AH26" s="42">
        <v>780</v>
      </c>
      <c r="AI26" s="42">
        <f t="shared" si="6"/>
        <v>152</v>
      </c>
      <c r="AJ26" s="42">
        <f t="shared" si="7"/>
        <v>755</v>
      </c>
      <c r="AK26" s="42">
        <v>8</v>
      </c>
      <c r="AL26" s="42">
        <v>2</v>
      </c>
    </row>
    <row r="27" spans="2:38" s="42" customFormat="1" x14ac:dyDescent="0.45">
      <c r="B27" s="31">
        <v>25</v>
      </c>
      <c r="C27" s="32">
        <v>500</v>
      </c>
      <c r="D27" s="33">
        <v>3</v>
      </c>
      <c r="E27" s="33">
        <v>3</v>
      </c>
      <c r="F27" s="33">
        <v>4</v>
      </c>
      <c r="G27" s="33">
        <v>19</v>
      </c>
      <c r="H27" s="11">
        <f t="shared" si="0"/>
        <v>22</v>
      </c>
      <c r="I27" s="32">
        <v>25</v>
      </c>
      <c r="J27" s="10">
        <f t="shared" si="1"/>
        <v>28</v>
      </c>
      <c r="K27" s="32">
        <v>4</v>
      </c>
      <c r="L27" s="34">
        <v>3</v>
      </c>
      <c r="M27" s="35" t="s">
        <v>1903</v>
      </c>
      <c r="N27" s="35">
        <f t="shared" si="2"/>
        <v>94</v>
      </c>
      <c r="O27" s="35">
        <v>20</v>
      </c>
      <c r="P27" s="36">
        <v>18</v>
      </c>
      <c r="Q27" s="37">
        <f t="shared" si="8"/>
        <v>508</v>
      </c>
      <c r="R27" s="38">
        <v>575</v>
      </c>
      <c r="S27" s="39">
        <v>625</v>
      </c>
      <c r="T27" s="17">
        <f t="shared" si="3"/>
        <v>630</v>
      </c>
      <c r="U27" s="39">
        <v>545</v>
      </c>
      <c r="V27" s="40">
        <v>10</v>
      </c>
      <c r="W27" s="40">
        <v>6</v>
      </c>
      <c r="X27" s="41">
        <v>10</v>
      </c>
      <c r="Y27" s="42">
        <v>150</v>
      </c>
      <c r="Z27" s="42">
        <v>500</v>
      </c>
      <c r="AA27" s="42">
        <v>12</v>
      </c>
      <c r="AB27" s="42">
        <v>450</v>
      </c>
      <c r="AC27" s="42">
        <v>866</v>
      </c>
      <c r="AD27" s="42">
        <f t="shared" si="4"/>
        <v>450</v>
      </c>
      <c r="AE27" s="42">
        <f t="shared" si="5"/>
        <v>841</v>
      </c>
      <c r="AF27" s="42">
        <v>8</v>
      </c>
      <c r="AG27" s="42">
        <v>152</v>
      </c>
      <c r="AH27" s="42">
        <v>788</v>
      </c>
      <c r="AI27" s="42">
        <f t="shared" si="6"/>
        <v>152</v>
      </c>
      <c r="AJ27" s="42">
        <f t="shared" si="7"/>
        <v>763</v>
      </c>
      <c r="AK27" s="42">
        <v>8</v>
      </c>
      <c r="AL27" s="42">
        <v>2</v>
      </c>
    </row>
    <row r="28" spans="2:38" s="42" customFormat="1" x14ac:dyDescent="0.45">
      <c r="B28" s="43">
        <v>26</v>
      </c>
      <c r="C28" s="32">
        <v>510</v>
      </c>
      <c r="D28" s="33">
        <v>3</v>
      </c>
      <c r="E28" s="33">
        <v>3</v>
      </c>
      <c r="F28" s="33">
        <v>4</v>
      </c>
      <c r="G28" s="33">
        <v>22</v>
      </c>
      <c r="H28" s="11">
        <f t="shared" si="0"/>
        <v>25</v>
      </c>
      <c r="I28" s="32">
        <v>25</v>
      </c>
      <c r="J28" s="10">
        <f t="shared" si="1"/>
        <v>28</v>
      </c>
      <c r="K28" s="32">
        <v>4</v>
      </c>
      <c r="L28" s="34">
        <v>3</v>
      </c>
      <c r="M28" s="35" t="s">
        <v>1903</v>
      </c>
      <c r="N28" s="35">
        <f>G28+I28+15+P28+15</f>
        <v>95</v>
      </c>
      <c r="O28" s="35">
        <v>20</v>
      </c>
      <c r="P28" s="36">
        <v>18</v>
      </c>
      <c r="Q28" s="37">
        <f t="shared" si="8"/>
        <v>518</v>
      </c>
      <c r="R28" s="38">
        <v>585</v>
      </c>
      <c r="S28" s="39">
        <v>635</v>
      </c>
      <c r="T28" s="17">
        <f t="shared" si="3"/>
        <v>640</v>
      </c>
      <c r="U28" s="39">
        <v>550</v>
      </c>
      <c r="V28" s="40">
        <v>10</v>
      </c>
      <c r="W28" s="40">
        <v>6</v>
      </c>
      <c r="X28" s="41">
        <v>10</v>
      </c>
      <c r="Y28" s="42">
        <v>150</v>
      </c>
      <c r="Z28" s="42">
        <v>500</v>
      </c>
      <c r="AA28" s="42">
        <v>12</v>
      </c>
      <c r="AB28" s="42">
        <v>450</v>
      </c>
      <c r="AC28" s="42">
        <v>864</v>
      </c>
      <c r="AD28" s="42">
        <f t="shared" si="4"/>
        <v>450</v>
      </c>
      <c r="AE28" s="42">
        <f t="shared" si="5"/>
        <v>839</v>
      </c>
      <c r="AF28" s="42">
        <v>8</v>
      </c>
      <c r="AG28" s="42">
        <v>152</v>
      </c>
      <c r="AH28" s="42">
        <v>788</v>
      </c>
      <c r="AI28" s="42">
        <f t="shared" si="6"/>
        <v>152</v>
      </c>
      <c r="AJ28" s="42">
        <f t="shared" si="7"/>
        <v>763</v>
      </c>
      <c r="AK28" s="42">
        <v>8</v>
      </c>
      <c r="AL28" s="42">
        <v>2</v>
      </c>
    </row>
    <row r="29" spans="2:38" s="42" customFormat="1" x14ac:dyDescent="0.45">
      <c r="B29" s="31">
        <v>27</v>
      </c>
      <c r="C29" s="32">
        <v>520</v>
      </c>
      <c r="D29" s="33">
        <v>3</v>
      </c>
      <c r="E29" s="33">
        <v>3</v>
      </c>
      <c r="F29" s="33">
        <v>4</v>
      </c>
      <c r="G29" s="33">
        <v>22</v>
      </c>
      <c r="H29" s="11">
        <f t="shared" si="0"/>
        <v>25</v>
      </c>
      <c r="I29" s="32">
        <v>25</v>
      </c>
      <c r="J29" s="10">
        <f t="shared" si="1"/>
        <v>28</v>
      </c>
      <c r="K29" s="32">
        <v>4</v>
      </c>
      <c r="L29" s="34">
        <v>3</v>
      </c>
      <c r="M29" s="35" t="s">
        <v>1903</v>
      </c>
      <c r="N29" s="35">
        <f t="shared" ref="N29:N35" si="10">G29+I29+15+P29+15</f>
        <v>95</v>
      </c>
      <c r="O29" s="35">
        <v>20</v>
      </c>
      <c r="P29" s="36">
        <v>18</v>
      </c>
      <c r="Q29" s="37">
        <f t="shared" si="8"/>
        <v>528</v>
      </c>
      <c r="R29" s="38">
        <v>600</v>
      </c>
      <c r="S29" s="39">
        <f t="shared" si="9"/>
        <v>645</v>
      </c>
      <c r="T29" s="17">
        <f t="shared" si="3"/>
        <v>650</v>
      </c>
      <c r="U29" s="39">
        <v>560</v>
      </c>
      <c r="V29" s="40">
        <v>10</v>
      </c>
      <c r="W29" s="40">
        <v>6</v>
      </c>
      <c r="X29" s="41">
        <v>10</v>
      </c>
      <c r="Y29" s="42">
        <v>150</v>
      </c>
      <c r="Z29" s="42">
        <v>500</v>
      </c>
      <c r="AA29" s="42">
        <v>12</v>
      </c>
      <c r="AB29" s="42">
        <v>450</v>
      </c>
      <c r="AC29" s="42">
        <v>856</v>
      </c>
      <c r="AD29" s="42">
        <f t="shared" si="4"/>
        <v>450</v>
      </c>
      <c r="AE29" s="42">
        <f t="shared" si="5"/>
        <v>831</v>
      </c>
      <c r="AF29" s="42">
        <v>8</v>
      </c>
      <c r="AG29" s="42">
        <v>152</v>
      </c>
      <c r="AH29" s="42">
        <v>803</v>
      </c>
      <c r="AI29" s="42">
        <f t="shared" si="6"/>
        <v>152</v>
      </c>
      <c r="AJ29" s="42">
        <f t="shared" si="7"/>
        <v>778</v>
      </c>
      <c r="AK29" s="42">
        <v>8</v>
      </c>
      <c r="AL29" s="42">
        <v>2</v>
      </c>
    </row>
    <row r="30" spans="2:38" s="42" customFormat="1" x14ac:dyDescent="0.45">
      <c r="B30" s="43">
        <v>28</v>
      </c>
      <c r="C30" s="32">
        <v>530</v>
      </c>
      <c r="D30" s="33">
        <v>3</v>
      </c>
      <c r="E30" s="33">
        <v>3</v>
      </c>
      <c r="F30" s="33">
        <v>4</v>
      </c>
      <c r="G30" s="33">
        <v>22</v>
      </c>
      <c r="H30" s="11">
        <f t="shared" si="0"/>
        <v>25</v>
      </c>
      <c r="I30" s="32">
        <v>25</v>
      </c>
      <c r="J30" s="10">
        <f t="shared" si="1"/>
        <v>28</v>
      </c>
      <c r="K30" s="32">
        <v>4</v>
      </c>
      <c r="L30" s="34">
        <v>3</v>
      </c>
      <c r="M30" s="35" t="s">
        <v>1903</v>
      </c>
      <c r="N30" s="35">
        <f t="shared" si="10"/>
        <v>95</v>
      </c>
      <c r="O30" s="35">
        <v>20</v>
      </c>
      <c r="P30" s="36">
        <v>18</v>
      </c>
      <c r="Q30" s="37">
        <f t="shared" si="8"/>
        <v>538</v>
      </c>
      <c r="R30" s="38">
        <v>610</v>
      </c>
      <c r="S30" s="39">
        <f t="shared" si="9"/>
        <v>655</v>
      </c>
      <c r="T30" s="17">
        <f t="shared" si="3"/>
        <v>660</v>
      </c>
      <c r="U30" s="39">
        <v>570</v>
      </c>
      <c r="V30" s="40">
        <v>10</v>
      </c>
      <c r="W30" s="40">
        <v>6</v>
      </c>
      <c r="X30" s="41">
        <v>10</v>
      </c>
      <c r="Y30" s="42">
        <v>150</v>
      </c>
      <c r="Z30" s="42">
        <v>500</v>
      </c>
      <c r="AA30" s="42">
        <v>12</v>
      </c>
      <c r="AB30" s="42">
        <v>450</v>
      </c>
      <c r="AC30" s="42">
        <v>855</v>
      </c>
      <c r="AD30" s="42">
        <f t="shared" si="4"/>
        <v>450</v>
      </c>
      <c r="AE30" s="42">
        <f t="shared" si="5"/>
        <v>830</v>
      </c>
      <c r="AF30" s="42">
        <v>8</v>
      </c>
      <c r="AG30" s="42">
        <v>152</v>
      </c>
      <c r="AH30" s="42">
        <v>788</v>
      </c>
      <c r="AI30" s="42">
        <f t="shared" si="6"/>
        <v>152</v>
      </c>
      <c r="AJ30" s="42">
        <f t="shared" si="7"/>
        <v>763</v>
      </c>
      <c r="AK30" s="42">
        <v>8</v>
      </c>
      <c r="AL30" s="42">
        <v>2</v>
      </c>
    </row>
    <row r="31" spans="2:38" s="42" customFormat="1" x14ac:dyDescent="0.45">
      <c r="B31" s="31">
        <v>29</v>
      </c>
      <c r="C31" s="32">
        <v>540</v>
      </c>
      <c r="D31" s="33">
        <v>3</v>
      </c>
      <c r="E31" s="33">
        <v>3</v>
      </c>
      <c r="F31" s="33">
        <v>4</v>
      </c>
      <c r="G31" s="33">
        <v>22</v>
      </c>
      <c r="H31" s="11">
        <f t="shared" si="0"/>
        <v>25</v>
      </c>
      <c r="I31" s="32">
        <v>25</v>
      </c>
      <c r="J31" s="10">
        <f t="shared" si="1"/>
        <v>28</v>
      </c>
      <c r="K31" s="32">
        <v>4</v>
      </c>
      <c r="L31" s="34">
        <v>3</v>
      </c>
      <c r="M31" s="35" t="s">
        <v>1903</v>
      </c>
      <c r="N31" s="35">
        <f t="shared" si="10"/>
        <v>95</v>
      </c>
      <c r="O31" s="35">
        <v>20</v>
      </c>
      <c r="P31" s="36">
        <v>18</v>
      </c>
      <c r="Q31" s="37">
        <f t="shared" si="8"/>
        <v>548</v>
      </c>
      <c r="R31" s="38">
        <v>620</v>
      </c>
      <c r="S31" s="39">
        <f t="shared" si="9"/>
        <v>665</v>
      </c>
      <c r="T31" s="17">
        <f t="shared" si="3"/>
        <v>670</v>
      </c>
      <c r="U31" s="39">
        <v>580</v>
      </c>
      <c r="V31" s="40">
        <v>10</v>
      </c>
      <c r="W31" s="40">
        <v>6</v>
      </c>
      <c r="X31" s="41">
        <v>10</v>
      </c>
      <c r="Y31" s="42">
        <v>150</v>
      </c>
      <c r="Z31" s="42">
        <v>500</v>
      </c>
      <c r="AA31" s="42">
        <v>12</v>
      </c>
      <c r="AB31" s="42">
        <v>450</v>
      </c>
      <c r="AC31" s="42">
        <v>851</v>
      </c>
      <c r="AD31" s="42">
        <f t="shared" si="4"/>
        <v>450</v>
      </c>
      <c r="AE31" s="42">
        <f t="shared" si="5"/>
        <v>826</v>
      </c>
      <c r="AF31" s="42">
        <v>8</v>
      </c>
      <c r="AG31" s="42">
        <v>152</v>
      </c>
      <c r="AH31" s="42">
        <v>785</v>
      </c>
      <c r="AI31" s="42">
        <f t="shared" si="6"/>
        <v>152</v>
      </c>
      <c r="AJ31" s="42">
        <f t="shared" si="7"/>
        <v>760</v>
      </c>
      <c r="AK31" s="42">
        <v>8</v>
      </c>
      <c r="AL31" s="42">
        <v>2</v>
      </c>
    </row>
    <row r="32" spans="2:38" s="42" customFormat="1" x14ac:dyDescent="0.45">
      <c r="B32" s="43">
        <v>30</v>
      </c>
      <c r="C32" s="32">
        <v>550</v>
      </c>
      <c r="D32" s="33">
        <v>3</v>
      </c>
      <c r="E32" s="33">
        <v>3</v>
      </c>
      <c r="F32" s="33">
        <v>4</v>
      </c>
      <c r="G32" s="33">
        <v>22</v>
      </c>
      <c r="H32" s="11">
        <f t="shared" si="0"/>
        <v>25</v>
      </c>
      <c r="I32" s="32">
        <v>25</v>
      </c>
      <c r="J32" s="10">
        <f t="shared" si="1"/>
        <v>28</v>
      </c>
      <c r="K32" s="32">
        <v>4</v>
      </c>
      <c r="L32" s="34">
        <v>3</v>
      </c>
      <c r="M32" s="35" t="s">
        <v>1903</v>
      </c>
      <c r="N32" s="35">
        <f t="shared" si="10"/>
        <v>95</v>
      </c>
      <c r="O32" s="35">
        <v>24</v>
      </c>
      <c r="P32" s="36">
        <v>18</v>
      </c>
      <c r="Q32" s="37">
        <f t="shared" si="8"/>
        <v>558</v>
      </c>
      <c r="R32" s="38">
        <v>630</v>
      </c>
      <c r="S32" s="39">
        <f t="shared" si="9"/>
        <v>675</v>
      </c>
      <c r="T32" s="17">
        <f t="shared" si="3"/>
        <v>680</v>
      </c>
      <c r="U32" s="39">
        <v>590</v>
      </c>
      <c r="V32" s="40">
        <v>10</v>
      </c>
      <c r="W32" s="40">
        <v>6</v>
      </c>
      <c r="X32" s="41">
        <v>10</v>
      </c>
      <c r="Y32" s="42">
        <v>150</v>
      </c>
      <c r="Z32" s="42">
        <v>550</v>
      </c>
      <c r="AA32" s="42">
        <v>12</v>
      </c>
      <c r="AB32" s="42">
        <v>500</v>
      </c>
      <c r="AC32" s="42">
        <v>888</v>
      </c>
      <c r="AD32" s="42">
        <f t="shared" si="4"/>
        <v>500</v>
      </c>
      <c r="AE32" s="42">
        <f t="shared" si="5"/>
        <v>863</v>
      </c>
      <c r="AF32" s="42">
        <v>8</v>
      </c>
      <c r="AG32" s="42">
        <v>152</v>
      </c>
      <c r="AH32" s="42">
        <v>803</v>
      </c>
      <c r="AI32" s="42">
        <f t="shared" si="6"/>
        <v>152</v>
      </c>
      <c r="AJ32" s="42">
        <f t="shared" si="7"/>
        <v>778</v>
      </c>
      <c r="AK32" s="42">
        <v>8</v>
      </c>
      <c r="AL32" s="42">
        <v>2</v>
      </c>
    </row>
    <row r="33" spans="2:38" s="42" customFormat="1" x14ac:dyDescent="0.45">
      <c r="B33" s="31">
        <v>31</v>
      </c>
      <c r="C33" s="32">
        <v>560</v>
      </c>
      <c r="D33" s="33">
        <v>3</v>
      </c>
      <c r="E33" s="33">
        <v>3</v>
      </c>
      <c r="F33" s="33">
        <v>4</v>
      </c>
      <c r="G33" s="33">
        <v>22</v>
      </c>
      <c r="H33" s="11">
        <f t="shared" si="0"/>
        <v>25</v>
      </c>
      <c r="I33" s="32">
        <v>25</v>
      </c>
      <c r="J33" s="10">
        <f t="shared" si="1"/>
        <v>28</v>
      </c>
      <c r="K33" s="32">
        <v>4</v>
      </c>
      <c r="L33" s="34">
        <v>3</v>
      </c>
      <c r="M33" s="35" t="s">
        <v>1903</v>
      </c>
      <c r="N33" s="35">
        <f t="shared" si="10"/>
        <v>95</v>
      </c>
      <c r="O33" s="35">
        <v>24</v>
      </c>
      <c r="P33" s="36">
        <v>18</v>
      </c>
      <c r="Q33" s="37">
        <f t="shared" si="8"/>
        <v>568</v>
      </c>
      <c r="R33" s="38">
        <v>640</v>
      </c>
      <c r="S33" s="39">
        <f t="shared" si="9"/>
        <v>685</v>
      </c>
      <c r="T33" s="17">
        <f t="shared" si="3"/>
        <v>690</v>
      </c>
      <c r="U33" s="39">
        <v>600</v>
      </c>
      <c r="V33" s="40">
        <v>10</v>
      </c>
      <c r="W33" s="40">
        <v>6</v>
      </c>
      <c r="X33" s="41">
        <v>10</v>
      </c>
      <c r="Y33" s="42">
        <v>150</v>
      </c>
      <c r="Z33" s="42">
        <v>550</v>
      </c>
      <c r="AA33" s="42">
        <v>12</v>
      </c>
      <c r="AB33" s="42">
        <v>500</v>
      </c>
      <c r="AC33" s="42">
        <v>882</v>
      </c>
      <c r="AD33" s="42">
        <f t="shared" si="4"/>
        <v>500</v>
      </c>
      <c r="AE33" s="42">
        <f t="shared" si="5"/>
        <v>857</v>
      </c>
      <c r="AF33" s="42">
        <v>8</v>
      </c>
      <c r="AG33" s="42">
        <v>152</v>
      </c>
      <c r="AH33" s="42">
        <v>801</v>
      </c>
      <c r="AI33" s="42">
        <f t="shared" si="6"/>
        <v>152</v>
      </c>
      <c r="AJ33" s="42">
        <f t="shared" si="7"/>
        <v>776</v>
      </c>
      <c r="AK33" s="42">
        <v>8</v>
      </c>
      <c r="AL33" s="42">
        <v>2</v>
      </c>
    </row>
    <row r="34" spans="2:38" s="42" customFormat="1" x14ac:dyDescent="0.45">
      <c r="B34" s="43">
        <v>32</v>
      </c>
      <c r="C34" s="32">
        <v>570</v>
      </c>
      <c r="D34" s="33">
        <v>3</v>
      </c>
      <c r="E34" s="33">
        <v>3</v>
      </c>
      <c r="F34" s="33">
        <v>4</v>
      </c>
      <c r="G34" s="33">
        <v>22</v>
      </c>
      <c r="H34" s="11">
        <f t="shared" si="0"/>
        <v>25</v>
      </c>
      <c r="I34" s="32">
        <v>25</v>
      </c>
      <c r="J34" s="10">
        <f t="shared" si="1"/>
        <v>28</v>
      </c>
      <c r="K34" s="32">
        <v>4</v>
      </c>
      <c r="L34" s="34">
        <v>3</v>
      </c>
      <c r="M34" s="35" t="s">
        <v>1903</v>
      </c>
      <c r="N34" s="35">
        <f t="shared" si="10"/>
        <v>95</v>
      </c>
      <c r="O34" s="35">
        <v>24</v>
      </c>
      <c r="P34" s="36">
        <v>18</v>
      </c>
      <c r="Q34" s="37">
        <f t="shared" si="8"/>
        <v>578</v>
      </c>
      <c r="R34" s="38">
        <v>650</v>
      </c>
      <c r="S34" s="39">
        <f t="shared" si="9"/>
        <v>695</v>
      </c>
      <c r="T34" s="17">
        <f t="shared" si="3"/>
        <v>700</v>
      </c>
      <c r="U34" s="39">
        <v>610</v>
      </c>
      <c r="V34" s="40">
        <v>10</v>
      </c>
      <c r="W34" s="40">
        <v>6</v>
      </c>
      <c r="X34" s="41">
        <v>10</v>
      </c>
      <c r="Y34" s="42">
        <v>150</v>
      </c>
      <c r="Z34" s="42">
        <v>550</v>
      </c>
      <c r="AA34" s="42">
        <v>12</v>
      </c>
      <c r="AB34" s="42">
        <v>500</v>
      </c>
      <c r="AC34" s="42">
        <v>877</v>
      </c>
      <c r="AD34" s="42">
        <f t="shared" si="4"/>
        <v>500</v>
      </c>
      <c r="AE34" s="42">
        <f t="shared" si="5"/>
        <v>852</v>
      </c>
      <c r="AF34" s="42">
        <v>8</v>
      </c>
      <c r="AG34" s="42">
        <v>152</v>
      </c>
      <c r="AH34" s="42">
        <v>800</v>
      </c>
      <c r="AI34" s="42">
        <f t="shared" si="6"/>
        <v>152</v>
      </c>
      <c r="AJ34" s="42">
        <f t="shared" si="7"/>
        <v>775</v>
      </c>
      <c r="AK34" s="42">
        <v>8</v>
      </c>
      <c r="AL34" s="42">
        <v>2</v>
      </c>
    </row>
    <row r="35" spans="2:38" s="42" customFormat="1" x14ac:dyDescent="0.45">
      <c r="B35" s="31">
        <v>33</v>
      </c>
      <c r="C35" s="32">
        <v>580</v>
      </c>
      <c r="D35" s="33">
        <v>4</v>
      </c>
      <c r="E35" s="33">
        <v>3</v>
      </c>
      <c r="F35" s="33">
        <v>4</v>
      </c>
      <c r="G35" s="33">
        <v>22</v>
      </c>
      <c r="H35" s="11">
        <f t="shared" si="0"/>
        <v>25</v>
      </c>
      <c r="I35" s="32">
        <v>25</v>
      </c>
      <c r="J35" s="10">
        <f t="shared" si="1"/>
        <v>28</v>
      </c>
      <c r="K35" s="32">
        <v>4</v>
      </c>
      <c r="L35" s="34">
        <v>3</v>
      </c>
      <c r="M35" s="35" t="s">
        <v>1903</v>
      </c>
      <c r="N35" s="35">
        <f t="shared" si="10"/>
        <v>95</v>
      </c>
      <c r="O35" s="35">
        <v>24</v>
      </c>
      <c r="P35" s="36">
        <v>18</v>
      </c>
      <c r="Q35" s="37">
        <v>590</v>
      </c>
      <c r="R35" s="38">
        <v>655</v>
      </c>
      <c r="S35" s="39">
        <f t="shared" si="9"/>
        <v>700</v>
      </c>
      <c r="T35" s="17">
        <f t="shared" si="3"/>
        <v>705</v>
      </c>
      <c r="U35" s="39">
        <v>625</v>
      </c>
      <c r="V35" s="40">
        <v>10</v>
      </c>
      <c r="W35" s="40">
        <v>6</v>
      </c>
      <c r="X35" s="41">
        <v>10</v>
      </c>
      <c r="Y35" s="42">
        <v>150</v>
      </c>
      <c r="Z35" s="42">
        <v>550</v>
      </c>
      <c r="AA35" s="42">
        <v>12</v>
      </c>
      <c r="AB35" s="42">
        <v>500</v>
      </c>
      <c r="AC35" s="42">
        <v>872</v>
      </c>
      <c r="AD35" s="42">
        <f t="shared" si="4"/>
        <v>500</v>
      </c>
      <c r="AE35" s="42">
        <f t="shared" si="5"/>
        <v>847</v>
      </c>
      <c r="AF35" s="42">
        <v>8</v>
      </c>
      <c r="AG35" s="42">
        <v>152</v>
      </c>
      <c r="AH35" s="42">
        <v>798</v>
      </c>
      <c r="AI35" s="42">
        <f t="shared" si="6"/>
        <v>152</v>
      </c>
      <c r="AJ35" s="42">
        <f t="shared" si="7"/>
        <v>773</v>
      </c>
      <c r="AK35" s="42">
        <v>8</v>
      </c>
      <c r="AL35" s="42">
        <v>2</v>
      </c>
    </row>
    <row r="36" spans="2:38" s="42" customFormat="1" x14ac:dyDescent="0.45">
      <c r="B36" s="43">
        <v>34</v>
      </c>
      <c r="C36" s="32">
        <v>590</v>
      </c>
      <c r="D36" s="33">
        <v>4</v>
      </c>
      <c r="E36" s="33">
        <v>3</v>
      </c>
      <c r="F36" s="33">
        <v>4</v>
      </c>
      <c r="G36" s="33">
        <v>22</v>
      </c>
      <c r="H36" s="11">
        <f t="shared" si="0"/>
        <v>25</v>
      </c>
      <c r="I36" s="32">
        <v>28</v>
      </c>
      <c r="J36" s="10">
        <f>I36+4</f>
        <v>32</v>
      </c>
      <c r="K36" s="32">
        <v>4</v>
      </c>
      <c r="L36" s="34">
        <v>5</v>
      </c>
      <c r="M36" s="35" t="s">
        <v>1903</v>
      </c>
      <c r="N36" s="35">
        <f t="shared" si="2"/>
        <v>100</v>
      </c>
      <c r="O36" s="35">
        <v>24</v>
      </c>
      <c r="P36" s="36">
        <v>18</v>
      </c>
      <c r="Q36" s="37">
        <v>600</v>
      </c>
      <c r="R36" s="38">
        <v>665</v>
      </c>
      <c r="S36" s="39">
        <f t="shared" si="9"/>
        <v>710</v>
      </c>
      <c r="T36" s="17">
        <f t="shared" si="3"/>
        <v>715</v>
      </c>
      <c r="U36" s="39">
        <f>Q36+32</f>
        <v>632</v>
      </c>
      <c r="V36" s="40">
        <v>10</v>
      </c>
      <c r="W36" s="40">
        <v>6</v>
      </c>
      <c r="X36" s="41">
        <v>10</v>
      </c>
      <c r="Y36" s="42">
        <v>150</v>
      </c>
      <c r="Z36" s="42">
        <v>550</v>
      </c>
      <c r="AA36" s="42">
        <v>12</v>
      </c>
      <c r="AB36" s="42">
        <v>500</v>
      </c>
      <c r="AC36" s="42">
        <v>868</v>
      </c>
      <c r="AD36" s="42">
        <f t="shared" si="4"/>
        <v>500</v>
      </c>
      <c r="AE36" s="42">
        <f t="shared" si="5"/>
        <v>843</v>
      </c>
      <c r="AF36" s="42">
        <v>8</v>
      </c>
      <c r="AG36" s="42">
        <v>152</v>
      </c>
      <c r="AH36" s="42">
        <v>797</v>
      </c>
      <c r="AI36" s="42">
        <f t="shared" si="6"/>
        <v>152</v>
      </c>
      <c r="AJ36" s="42">
        <f t="shared" si="7"/>
        <v>772</v>
      </c>
      <c r="AK36" s="42">
        <v>8</v>
      </c>
      <c r="AL36" s="42">
        <v>2</v>
      </c>
    </row>
    <row r="37" spans="2:38" s="42" customFormat="1" x14ac:dyDescent="0.45">
      <c r="B37" s="31">
        <v>35</v>
      </c>
      <c r="C37" s="32">
        <v>600</v>
      </c>
      <c r="D37" s="33">
        <v>4</v>
      </c>
      <c r="E37" s="33">
        <v>3</v>
      </c>
      <c r="F37" s="33">
        <v>4</v>
      </c>
      <c r="G37" s="33">
        <v>22</v>
      </c>
      <c r="H37" s="11">
        <f t="shared" si="0"/>
        <v>25</v>
      </c>
      <c r="I37" s="32">
        <v>28</v>
      </c>
      <c r="J37" s="10">
        <f>I37+4</f>
        <v>32</v>
      </c>
      <c r="K37" s="32">
        <v>4</v>
      </c>
      <c r="L37" s="34">
        <v>5</v>
      </c>
      <c r="M37" s="35" t="s">
        <v>1903</v>
      </c>
      <c r="N37" s="35">
        <f t="shared" si="2"/>
        <v>100</v>
      </c>
      <c r="O37" s="35">
        <v>24</v>
      </c>
      <c r="P37" s="36">
        <v>18</v>
      </c>
      <c r="Q37" s="37">
        <f t="shared" ref="Q37:Q47" si="11">C37+(2*D37)+2</f>
        <v>610</v>
      </c>
      <c r="R37" s="38">
        <v>680</v>
      </c>
      <c r="S37" s="39">
        <f t="shared" si="9"/>
        <v>725</v>
      </c>
      <c r="T37" s="17">
        <f t="shared" si="3"/>
        <v>730</v>
      </c>
      <c r="U37" s="39">
        <v>653</v>
      </c>
      <c r="V37" s="40">
        <v>10</v>
      </c>
      <c r="W37" s="40">
        <v>6</v>
      </c>
      <c r="X37" s="41">
        <v>10</v>
      </c>
      <c r="Y37" s="42">
        <v>150</v>
      </c>
      <c r="Z37" s="42">
        <v>590</v>
      </c>
      <c r="AA37" s="42">
        <v>12</v>
      </c>
      <c r="AB37" s="42">
        <v>540</v>
      </c>
      <c r="AC37" s="42">
        <v>885</v>
      </c>
      <c r="AD37" s="42">
        <f t="shared" si="4"/>
        <v>540</v>
      </c>
      <c r="AE37" s="42">
        <f t="shared" si="5"/>
        <v>860</v>
      </c>
      <c r="AF37" s="42">
        <v>8</v>
      </c>
      <c r="AG37" s="42">
        <v>152</v>
      </c>
      <c r="AH37" s="42">
        <v>806</v>
      </c>
      <c r="AI37" s="42">
        <f t="shared" si="6"/>
        <v>152</v>
      </c>
      <c r="AJ37" s="42">
        <f t="shared" si="7"/>
        <v>781</v>
      </c>
      <c r="AK37" s="42">
        <v>8</v>
      </c>
      <c r="AL37" s="42">
        <v>2</v>
      </c>
    </row>
    <row r="38" spans="2:38" s="42" customFormat="1" x14ac:dyDescent="0.45">
      <c r="B38" s="43">
        <v>36</v>
      </c>
      <c r="C38" s="32">
        <v>610</v>
      </c>
      <c r="D38" s="33">
        <v>4</v>
      </c>
      <c r="E38" s="33">
        <v>3</v>
      </c>
      <c r="F38" s="33">
        <v>4</v>
      </c>
      <c r="G38" s="33">
        <v>25</v>
      </c>
      <c r="H38" s="33">
        <f t="shared" si="0"/>
        <v>28</v>
      </c>
      <c r="I38" s="32">
        <v>32</v>
      </c>
      <c r="J38" s="32">
        <f t="shared" ref="J38:J76" si="12">I38+4</f>
        <v>36</v>
      </c>
      <c r="K38" s="32">
        <v>8</v>
      </c>
      <c r="L38" s="34">
        <v>5</v>
      </c>
      <c r="M38" s="35" t="s">
        <v>1903</v>
      </c>
      <c r="N38" s="35">
        <f>G38+I38+15+P38+15</f>
        <v>105</v>
      </c>
      <c r="O38" s="35">
        <v>24</v>
      </c>
      <c r="P38" s="36">
        <v>18</v>
      </c>
      <c r="Q38" s="37">
        <f t="shared" si="11"/>
        <v>620</v>
      </c>
      <c r="R38" s="38">
        <v>690</v>
      </c>
      <c r="S38" s="39">
        <f t="shared" si="9"/>
        <v>735</v>
      </c>
      <c r="T38" s="39">
        <f t="shared" si="3"/>
        <v>740</v>
      </c>
      <c r="U38" s="39">
        <v>662</v>
      </c>
      <c r="V38" s="40">
        <v>10</v>
      </c>
      <c r="W38" s="40">
        <v>6</v>
      </c>
      <c r="X38" s="41">
        <v>10</v>
      </c>
      <c r="Y38" s="42">
        <v>150</v>
      </c>
      <c r="Z38" s="42">
        <v>590</v>
      </c>
      <c r="AA38" s="42">
        <v>12</v>
      </c>
      <c r="AB38" s="42">
        <v>540</v>
      </c>
      <c r="AC38" s="42">
        <v>890</v>
      </c>
      <c r="AD38" s="42">
        <f t="shared" si="4"/>
        <v>540</v>
      </c>
      <c r="AE38" s="42">
        <f t="shared" si="5"/>
        <v>865</v>
      </c>
      <c r="AF38" s="42">
        <v>8</v>
      </c>
      <c r="AG38" s="42">
        <v>152</v>
      </c>
      <c r="AH38" s="42">
        <v>794</v>
      </c>
      <c r="AI38" s="42">
        <f t="shared" si="6"/>
        <v>152</v>
      </c>
      <c r="AJ38" s="42">
        <f t="shared" si="7"/>
        <v>769</v>
      </c>
      <c r="AK38" s="42">
        <v>8</v>
      </c>
      <c r="AL38" s="42">
        <v>2</v>
      </c>
    </row>
    <row r="39" spans="2:38" s="42" customFormat="1" x14ac:dyDescent="0.45">
      <c r="B39" s="31">
        <v>37</v>
      </c>
      <c r="C39" s="32">
        <v>620</v>
      </c>
      <c r="D39" s="33">
        <v>4</v>
      </c>
      <c r="E39" s="33">
        <v>3</v>
      </c>
      <c r="F39" s="33">
        <v>4</v>
      </c>
      <c r="G39" s="33">
        <v>25</v>
      </c>
      <c r="H39" s="11">
        <f t="shared" si="0"/>
        <v>28</v>
      </c>
      <c r="I39" s="32">
        <v>32</v>
      </c>
      <c r="J39" s="10">
        <f t="shared" si="12"/>
        <v>36</v>
      </c>
      <c r="K39" s="32">
        <v>8</v>
      </c>
      <c r="L39" s="34">
        <v>5</v>
      </c>
      <c r="M39" s="35" t="s">
        <v>1903</v>
      </c>
      <c r="N39" s="35">
        <f t="shared" ref="N39:N47" si="13">G39+I39+15+P39+15</f>
        <v>105</v>
      </c>
      <c r="O39" s="35">
        <v>24</v>
      </c>
      <c r="P39" s="36">
        <v>18</v>
      </c>
      <c r="Q39" s="37">
        <f t="shared" si="11"/>
        <v>630</v>
      </c>
      <c r="R39" s="38">
        <v>700</v>
      </c>
      <c r="S39" s="39">
        <v>745</v>
      </c>
      <c r="T39" s="17">
        <f t="shared" si="3"/>
        <v>750</v>
      </c>
      <c r="U39" s="39">
        <v>672</v>
      </c>
      <c r="V39" s="40">
        <v>10</v>
      </c>
      <c r="W39" s="40">
        <v>6</v>
      </c>
      <c r="X39" s="41">
        <v>10</v>
      </c>
      <c r="Y39" s="42">
        <v>150</v>
      </c>
      <c r="Z39" s="42">
        <v>590</v>
      </c>
      <c r="AA39" s="42">
        <v>12</v>
      </c>
      <c r="AB39" s="42">
        <v>540</v>
      </c>
      <c r="AC39" s="42">
        <v>887</v>
      </c>
      <c r="AD39" s="42">
        <f t="shared" si="4"/>
        <v>540</v>
      </c>
      <c r="AE39" s="42">
        <f t="shared" si="5"/>
        <v>862</v>
      </c>
      <c r="AF39" s="42">
        <v>8</v>
      </c>
      <c r="AG39" s="42">
        <v>152</v>
      </c>
      <c r="AH39" s="42">
        <v>805</v>
      </c>
      <c r="AI39" s="42">
        <f t="shared" si="6"/>
        <v>152</v>
      </c>
      <c r="AJ39" s="42">
        <f t="shared" si="7"/>
        <v>780</v>
      </c>
      <c r="AK39" s="42">
        <v>8</v>
      </c>
      <c r="AL39" s="42">
        <v>2</v>
      </c>
    </row>
    <row r="40" spans="2:38" s="42" customFormat="1" x14ac:dyDescent="0.45">
      <c r="B40" s="43">
        <v>38</v>
      </c>
      <c r="C40" s="32">
        <v>630</v>
      </c>
      <c r="D40" s="33">
        <v>4</v>
      </c>
      <c r="E40" s="33">
        <v>3</v>
      </c>
      <c r="F40" s="33">
        <v>4</v>
      </c>
      <c r="G40" s="33">
        <v>25</v>
      </c>
      <c r="H40" s="33">
        <f t="shared" si="0"/>
        <v>28</v>
      </c>
      <c r="I40" s="32">
        <v>32</v>
      </c>
      <c r="J40" s="32">
        <f t="shared" si="12"/>
        <v>36</v>
      </c>
      <c r="K40" s="32">
        <v>8</v>
      </c>
      <c r="L40" s="34">
        <v>5</v>
      </c>
      <c r="M40" s="35" t="s">
        <v>1903</v>
      </c>
      <c r="N40" s="35">
        <f t="shared" si="13"/>
        <v>105</v>
      </c>
      <c r="O40" s="35">
        <v>24</v>
      </c>
      <c r="P40" s="36">
        <v>18</v>
      </c>
      <c r="Q40" s="37">
        <f t="shared" si="11"/>
        <v>640</v>
      </c>
      <c r="R40" s="38">
        <v>710</v>
      </c>
      <c r="S40" s="39">
        <v>755</v>
      </c>
      <c r="T40" s="39">
        <f t="shared" si="3"/>
        <v>760</v>
      </c>
      <c r="U40" s="39">
        <v>682</v>
      </c>
      <c r="V40" s="40">
        <v>10</v>
      </c>
      <c r="W40" s="40">
        <v>6</v>
      </c>
      <c r="X40" s="41">
        <v>10</v>
      </c>
      <c r="Y40" s="42">
        <v>150</v>
      </c>
      <c r="Z40" s="42">
        <v>590</v>
      </c>
      <c r="AA40" s="42">
        <v>12</v>
      </c>
      <c r="AB40" s="42">
        <v>540</v>
      </c>
      <c r="AC40" s="42">
        <v>881</v>
      </c>
      <c r="AD40" s="42">
        <f t="shared" si="4"/>
        <v>540</v>
      </c>
      <c r="AE40" s="42">
        <f t="shared" si="5"/>
        <v>856</v>
      </c>
      <c r="AF40" s="42">
        <v>8</v>
      </c>
      <c r="AG40" s="42">
        <v>152</v>
      </c>
      <c r="AH40" s="42">
        <v>792</v>
      </c>
      <c r="AI40" s="42">
        <f t="shared" si="6"/>
        <v>152</v>
      </c>
      <c r="AJ40" s="42">
        <f t="shared" si="7"/>
        <v>767</v>
      </c>
      <c r="AK40" s="42">
        <v>8</v>
      </c>
      <c r="AL40" s="42">
        <v>2</v>
      </c>
    </row>
    <row r="41" spans="2:38" s="42" customFormat="1" x14ac:dyDescent="0.45">
      <c r="B41" s="31">
        <v>39</v>
      </c>
      <c r="C41" s="32">
        <v>640</v>
      </c>
      <c r="D41" s="33">
        <v>4</v>
      </c>
      <c r="E41" s="33">
        <v>3</v>
      </c>
      <c r="F41" s="33">
        <v>4</v>
      </c>
      <c r="G41" s="33">
        <v>25</v>
      </c>
      <c r="H41" s="33">
        <f t="shared" si="0"/>
        <v>28</v>
      </c>
      <c r="I41" s="32">
        <v>32</v>
      </c>
      <c r="J41" s="32">
        <f t="shared" si="12"/>
        <v>36</v>
      </c>
      <c r="K41" s="32">
        <v>8</v>
      </c>
      <c r="L41" s="34">
        <v>5</v>
      </c>
      <c r="M41" s="35" t="s">
        <v>1903</v>
      </c>
      <c r="N41" s="35">
        <f t="shared" si="13"/>
        <v>105</v>
      </c>
      <c r="O41" s="35">
        <v>24</v>
      </c>
      <c r="P41" s="36">
        <v>18</v>
      </c>
      <c r="Q41" s="37">
        <f t="shared" si="11"/>
        <v>650</v>
      </c>
      <c r="R41" s="38">
        <v>720</v>
      </c>
      <c r="S41" s="39">
        <f t="shared" ref="S41:S57" si="14">R41+45</f>
        <v>765</v>
      </c>
      <c r="T41" s="39">
        <f t="shared" si="3"/>
        <v>770</v>
      </c>
      <c r="U41" s="39">
        <v>692</v>
      </c>
      <c r="V41" s="40">
        <v>10</v>
      </c>
      <c r="W41" s="40">
        <v>6</v>
      </c>
      <c r="X41" s="41">
        <v>10</v>
      </c>
      <c r="Y41" s="42">
        <v>150</v>
      </c>
      <c r="Z41" s="42">
        <v>590</v>
      </c>
      <c r="AA41" s="42">
        <v>12</v>
      </c>
      <c r="AB41" s="42">
        <v>540</v>
      </c>
      <c r="AC41" s="42">
        <v>877</v>
      </c>
      <c r="AD41" s="42">
        <f t="shared" si="4"/>
        <v>540</v>
      </c>
      <c r="AE41" s="42">
        <f t="shared" si="5"/>
        <v>852</v>
      </c>
      <c r="AF41" s="42">
        <v>8</v>
      </c>
      <c r="AG41" s="42">
        <v>152</v>
      </c>
      <c r="AH41" s="42">
        <v>791</v>
      </c>
      <c r="AI41" s="42">
        <f t="shared" si="6"/>
        <v>152</v>
      </c>
      <c r="AJ41" s="42">
        <f t="shared" si="7"/>
        <v>766</v>
      </c>
      <c r="AK41" s="42">
        <v>8</v>
      </c>
      <c r="AL41" s="42">
        <v>2</v>
      </c>
    </row>
    <row r="42" spans="2:38" s="42" customFormat="1" x14ac:dyDescent="0.45">
      <c r="B42" s="43">
        <v>40</v>
      </c>
      <c r="C42" s="32">
        <v>650</v>
      </c>
      <c r="D42" s="33">
        <v>4</v>
      </c>
      <c r="E42" s="33">
        <v>3</v>
      </c>
      <c r="F42" s="33">
        <v>4</v>
      </c>
      <c r="G42" s="33">
        <v>25</v>
      </c>
      <c r="H42" s="11">
        <f t="shared" si="0"/>
        <v>28</v>
      </c>
      <c r="I42" s="32">
        <v>32</v>
      </c>
      <c r="J42" s="10">
        <f t="shared" si="12"/>
        <v>36</v>
      </c>
      <c r="K42" s="32">
        <v>8</v>
      </c>
      <c r="L42" s="34">
        <v>5</v>
      </c>
      <c r="M42" s="35" t="s">
        <v>1903</v>
      </c>
      <c r="N42" s="35">
        <f t="shared" si="13"/>
        <v>105</v>
      </c>
      <c r="O42" s="35">
        <v>24</v>
      </c>
      <c r="P42" s="36">
        <v>18</v>
      </c>
      <c r="Q42" s="37">
        <f t="shared" si="11"/>
        <v>660</v>
      </c>
      <c r="R42" s="38">
        <v>730</v>
      </c>
      <c r="S42" s="39">
        <f t="shared" si="14"/>
        <v>775</v>
      </c>
      <c r="T42" s="17">
        <f t="shared" si="3"/>
        <v>780</v>
      </c>
      <c r="U42" s="39">
        <v>702</v>
      </c>
      <c r="V42" s="40">
        <v>10</v>
      </c>
      <c r="W42" s="40">
        <v>6</v>
      </c>
      <c r="X42" s="41">
        <v>10</v>
      </c>
      <c r="Y42" s="42">
        <v>150</v>
      </c>
      <c r="Z42" s="42">
        <v>630</v>
      </c>
      <c r="AA42" s="42">
        <v>12</v>
      </c>
      <c r="AB42" s="42">
        <v>580</v>
      </c>
      <c r="AC42" s="42">
        <v>903</v>
      </c>
      <c r="AD42" s="42">
        <f t="shared" si="4"/>
        <v>580</v>
      </c>
      <c r="AE42" s="42">
        <f t="shared" si="5"/>
        <v>878</v>
      </c>
      <c r="AF42" s="42">
        <v>8</v>
      </c>
      <c r="AG42" s="42">
        <v>152</v>
      </c>
      <c r="AH42" s="42">
        <v>820</v>
      </c>
      <c r="AI42" s="42">
        <f t="shared" si="6"/>
        <v>152</v>
      </c>
      <c r="AJ42" s="42">
        <f t="shared" si="7"/>
        <v>795</v>
      </c>
      <c r="AK42" s="42">
        <v>8</v>
      </c>
      <c r="AL42" s="42">
        <v>2</v>
      </c>
    </row>
    <row r="43" spans="2:38" s="42" customFormat="1" x14ac:dyDescent="0.45">
      <c r="B43" s="31">
        <v>41</v>
      </c>
      <c r="C43" s="32">
        <v>660</v>
      </c>
      <c r="D43" s="33">
        <v>4</v>
      </c>
      <c r="E43" s="33">
        <v>3</v>
      </c>
      <c r="F43" s="33">
        <v>4</v>
      </c>
      <c r="G43" s="33">
        <v>25</v>
      </c>
      <c r="H43" s="33">
        <f t="shared" si="0"/>
        <v>28</v>
      </c>
      <c r="I43" s="32">
        <v>32</v>
      </c>
      <c r="J43" s="32">
        <f t="shared" si="12"/>
        <v>36</v>
      </c>
      <c r="K43" s="32">
        <v>8</v>
      </c>
      <c r="L43" s="34">
        <v>5</v>
      </c>
      <c r="M43" s="35" t="s">
        <v>1903</v>
      </c>
      <c r="N43" s="35">
        <f t="shared" si="13"/>
        <v>105</v>
      </c>
      <c r="O43" s="35">
        <v>24</v>
      </c>
      <c r="P43" s="36">
        <v>18</v>
      </c>
      <c r="Q43" s="37">
        <f t="shared" si="11"/>
        <v>670</v>
      </c>
      <c r="R43" s="38">
        <v>740</v>
      </c>
      <c r="S43" s="39">
        <f t="shared" si="14"/>
        <v>785</v>
      </c>
      <c r="T43" s="39">
        <f t="shared" si="3"/>
        <v>790</v>
      </c>
      <c r="U43" s="39">
        <v>712</v>
      </c>
      <c r="V43" s="40">
        <v>10</v>
      </c>
      <c r="W43" s="40">
        <v>6</v>
      </c>
      <c r="X43" s="41">
        <v>10</v>
      </c>
      <c r="Y43" s="42">
        <v>150</v>
      </c>
      <c r="Z43" s="42">
        <v>630</v>
      </c>
      <c r="AA43" s="42">
        <v>12</v>
      </c>
      <c r="AB43" s="42">
        <v>580</v>
      </c>
      <c r="AC43" s="42">
        <v>898</v>
      </c>
      <c r="AD43" s="42">
        <f t="shared" si="4"/>
        <v>580</v>
      </c>
      <c r="AE43" s="42">
        <f t="shared" si="5"/>
        <v>873</v>
      </c>
      <c r="AF43" s="42">
        <v>8</v>
      </c>
      <c r="AG43" s="42">
        <v>152</v>
      </c>
      <c r="AH43" s="42">
        <v>818</v>
      </c>
      <c r="AI43" s="42">
        <f t="shared" si="6"/>
        <v>152</v>
      </c>
      <c r="AJ43" s="42">
        <f t="shared" si="7"/>
        <v>793</v>
      </c>
      <c r="AK43" s="42">
        <v>8</v>
      </c>
      <c r="AL43" s="42">
        <v>2</v>
      </c>
    </row>
    <row r="44" spans="2:38" s="42" customFormat="1" x14ac:dyDescent="0.45">
      <c r="B44" s="43">
        <v>42</v>
      </c>
      <c r="C44" s="32">
        <v>670</v>
      </c>
      <c r="D44" s="33">
        <v>4</v>
      </c>
      <c r="E44" s="33">
        <v>3</v>
      </c>
      <c r="F44" s="33">
        <v>4</v>
      </c>
      <c r="G44" s="33">
        <v>25</v>
      </c>
      <c r="H44" s="11">
        <f t="shared" si="0"/>
        <v>28</v>
      </c>
      <c r="I44" s="32">
        <v>32</v>
      </c>
      <c r="J44" s="10">
        <f t="shared" si="12"/>
        <v>36</v>
      </c>
      <c r="K44" s="32">
        <v>8</v>
      </c>
      <c r="L44" s="34">
        <v>5</v>
      </c>
      <c r="M44" s="35" t="s">
        <v>1903</v>
      </c>
      <c r="N44" s="35">
        <f t="shared" si="13"/>
        <v>105</v>
      </c>
      <c r="O44" s="35">
        <v>24</v>
      </c>
      <c r="P44" s="36">
        <v>18</v>
      </c>
      <c r="Q44" s="37">
        <f t="shared" si="11"/>
        <v>680</v>
      </c>
      <c r="R44" s="38">
        <v>750</v>
      </c>
      <c r="S44" s="39">
        <f t="shared" si="14"/>
        <v>795</v>
      </c>
      <c r="T44" s="17">
        <f t="shared" si="3"/>
        <v>800</v>
      </c>
      <c r="U44" s="39">
        <v>722</v>
      </c>
      <c r="V44" s="40">
        <v>10</v>
      </c>
      <c r="W44" s="40">
        <v>6</v>
      </c>
      <c r="X44" s="41">
        <v>10</v>
      </c>
      <c r="Y44" s="42">
        <v>150</v>
      </c>
      <c r="Z44" s="42">
        <v>630</v>
      </c>
      <c r="AA44" s="42">
        <v>12</v>
      </c>
      <c r="AB44" s="42">
        <v>580</v>
      </c>
      <c r="AC44" s="42">
        <v>897</v>
      </c>
      <c r="AD44" s="42">
        <f t="shared" si="4"/>
        <v>580</v>
      </c>
      <c r="AE44" s="42">
        <f t="shared" si="5"/>
        <v>872</v>
      </c>
      <c r="AF44" s="42">
        <v>8</v>
      </c>
      <c r="AG44" s="42">
        <v>152</v>
      </c>
      <c r="AH44" s="42">
        <v>818</v>
      </c>
      <c r="AI44" s="42">
        <f t="shared" si="6"/>
        <v>152</v>
      </c>
      <c r="AJ44" s="42">
        <f t="shared" si="7"/>
        <v>793</v>
      </c>
      <c r="AK44" s="42">
        <v>8</v>
      </c>
      <c r="AL44" s="42">
        <v>2</v>
      </c>
    </row>
    <row r="45" spans="2:38" s="42" customFormat="1" x14ac:dyDescent="0.45">
      <c r="B45" s="31">
        <v>43</v>
      </c>
      <c r="C45" s="32">
        <v>680</v>
      </c>
      <c r="D45" s="33">
        <v>4</v>
      </c>
      <c r="E45" s="33">
        <v>3</v>
      </c>
      <c r="F45" s="33">
        <v>4</v>
      </c>
      <c r="G45" s="33">
        <v>25</v>
      </c>
      <c r="H45" s="33">
        <f t="shared" si="0"/>
        <v>28</v>
      </c>
      <c r="I45" s="32">
        <v>32</v>
      </c>
      <c r="J45" s="32">
        <f t="shared" si="12"/>
        <v>36</v>
      </c>
      <c r="K45" s="32">
        <v>8</v>
      </c>
      <c r="L45" s="34">
        <v>5</v>
      </c>
      <c r="M45" s="35" t="s">
        <v>1903</v>
      </c>
      <c r="N45" s="35">
        <f t="shared" si="13"/>
        <v>105</v>
      </c>
      <c r="O45" s="35">
        <v>28</v>
      </c>
      <c r="P45" s="36">
        <v>18</v>
      </c>
      <c r="Q45" s="37">
        <f t="shared" si="11"/>
        <v>690</v>
      </c>
      <c r="R45" s="38">
        <v>760</v>
      </c>
      <c r="S45" s="39">
        <f t="shared" si="14"/>
        <v>805</v>
      </c>
      <c r="T45" s="39">
        <f t="shared" si="3"/>
        <v>810</v>
      </c>
      <c r="U45" s="39">
        <v>732</v>
      </c>
      <c r="V45" s="40">
        <v>10</v>
      </c>
      <c r="W45" s="40">
        <v>6</v>
      </c>
      <c r="X45" s="41">
        <v>10</v>
      </c>
      <c r="Y45" s="42">
        <v>150</v>
      </c>
      <c r="Z45" s="42">
        <v>630</v>
      </c>
      <c r="AA45" s="42">
        <v>12</v>
      </c>
      <c r="AB45" s="42">
        <v>580</v>
      </c>
      <c r="AC45" s="42">
        <v>890</v>
      </c>
      <c r="AD45" s="42">
        <f t="shared" si="4"/>
        <v>580</v>
      </c>
      <c r="AE45" s="42">
        <f t="shared" si="5"/>
        <v>865</v>
      </c>
      <c r="AF45" s="42">
        <v>8</v>
      </c>
      <c r="AG45" s="42">
        <v>152</v>
      </c>
      <c r="AH45" s="42">
        <v>815</v>
      </c>
      <c r="AI45" s="42">
        <f t="shared" si="6"/>
        <v>152</v>
      </c>
      <c r="AJ45" s="42">
        <f t="shared" si="7"/>
        <v>790</v>
      </c>
      <c r="AK45" s="42">
        <v>8</v>
      </c>
      <c r="AL45" s="42">
        <v>2</v>
      </c>
    </row>
    <row r="46" spans="2:38" s="42" customFormat="1" x14ac:dyDescent="0.45">
      <c r="B46" s="43">
        <v>44</v>
      </c>
      <c r="C46" s="32">
        <v>690</v>
      </c>
      <c r="D46" s="33">
        <v>4</v>
      </c>
      <c r="E46" s="33">
        <v>3</v>
      </c>
      <c r="F46" s="33">
        <v>4</v>
      </c>
      <c r="G46" s="33">
        <v>25</v>
      </c>
      <c r="H46" s="33">
        <f t="shared" si="0"/>
        <v>28</v>
      </c>
      <c r="I46" s="32">
        <v>32</v>
      </c>
      <c r="J46" s="32">
        <f t="shared" si="12"/>
        <v>36</v>
      </c>
      <c r="K46" s="32">
        <v>8</v>
      </c>
      <c r="L46" s="34">
        <v>5</v>
      </c>
      <c r="M46" s="35" t="s">
        <v>1903</v>
      </c>
      <c r="N46" s="35">
        <f t="shared" si="13"/>
        <v>105</v>
      </c>
      <c r="O46" s="35">
        <v>28</v>
      </c>
      <c r="P46" s="36">
        <v>18</v>
      </c>
      <c r="Q46" s="37">
        <f t="shared" si="11"/>
        <v>700</v>
      </c>
      <c r="R46" s="38">
        <v>770</v>
      </c>
      <c r="S46" s="39">
        <f t="shared" si="14"/>
        <v>815</v>
      </c>
      <c r="T46" s="39">
        <f t="shared" si="3"/>
        <v>820</v>
      </c>
      <c r="U46" s="39">
        <v>742</v>
      </c>
      <c r="V46" s="40">
        <v>10</v>
      </c>
      <c r="W46" s="40">
        <v>6</v>
      </c>
      <c r="X46" s="41">
        <v>10</v>
      </c>
      <c r="Y46" s="42">
        <v>150</v>
      </c>
      <c r="Z46" s="42">
        <v>630</v>
      </c>
      <c r="AA46" s="42">
        <v>12</v>
      </c>
      <c r="AB46" s="42">
        <v>580</v>
      </c>
      <c r="AC46" s="42">
        <v>886</v>
      </c>
      <c r="AD46" s="42">
        <f t="shared" si="4"/>
        <v>580</v>
      </c>
      <c r="AE46" s="42">
        <f t="shared" si="5"/>
        <v>861</v>
      </c>
      <c r="AF46" s="42">
        <v>8</v>
      </c>
      <c r="AG46" s="42">
        <v>152</v>
      </c>
      <c r="AH46" s="42">
        <v>813</v>
      </c>
      <c r="AI46" s="42">
        <f t="shared" si="6"/>
        <v>152</v>
      </c>
      <c r="AJ46" s="42">
        <f t="shared" si="7"/>
        <v>788</v>
      </c>
      <c r="AK46" s="42">
        <v>8</v>
      </c>
      <c r="AL46" s="42">
        <v>2</v>
      </c>
    </row>
    <row r="47" spans="2:38" s="42" customFormat="1" x14ac:dyDescent="0.45">
      <c r="B47" s="31">
        <v>45</v>
      </c>
      <c r="C47" s="32">
        <v>700</v>
      </c>
      <c r="D47" s="33">
        <v>4</v>
      </c>
      <c r="E47" s="33">
        <v>3</v>
      </c>
      <c r="F47" s="33">
        <v>4</v>
      </c>
      <c r="G47" s="33">
        <v>25</v>
      </c>
      <c r="H47" s="11">
        <f t="shared" si="0"/>
        <v>28</v>
      </c>
      <c r="I47" s="32">
        <v>32</v>
      </c>
      <c r="J47" s="10">
        <f t="shared" si="12"/>
        <v>36</v>
      </c>
      <c r="K47" s="32">
        <v>8</v>
      </c>
      <c r="L47" s="34">
        <v>5</v>
      </c>
      <c r="M47" s="35" t="s">
        <v>1903</v>
      </c>
      <c r="N47" s="35">
        <f t="shared" si="13"/>
        <v>105</v>
      </c>
      <c r="O47" s="35">
        <v>28</v>
      </c>
      <c r="P47" s="36">
        <v>18</v>
      </c>
      <c r="Q47" s="37">
        <f t="shared" si="11"/>
        <v>710</v>
      </c>
      <c r="R47" s="38">
        <v>780</v>
      </c>
      <c r="S47" s="39">
        <f t="shared" si="14"/>
        <v>825</v>
      </c>
      <c r="T47" s="17">
        <f t="shared" si="3"/>
        <v>830</v>
      </c>
      <c r="U47" s="39">
        <v>752</v>
      </c>
      <c r="V47" s="40">
        <v>10</v>
      </c>
      <c r="W47" s="40">
        <v>6</v>
      </c>
      <c r="X47" s="41">
        <v>10</v>
      </c>
      <c r="Y47" s="42">
        <v>150</v>
      </c>
      <c r="Z47" s="42">
        <v>670</v>
      </c>
      <c r="AA47" s="42">
        <v>12</v>
      </c>
      <c r="AB47" s="42">
        <v>630</v>
      </c>
      <c r="AC47" s="42">
        <v>922</v>
      </c>
      <c r="AD47" s="42">
        <f t="shared" si="4"/>
        <v>630</v>
      </c>
      <c r="AE47" s="42">
        <f t="shared" si="5"/>
        <v>897</v>
      </c>
      <c r="AF47" s="42">
        <v>8</v>
      </c>
      <c r="AG47" s="42">
        <v>152</v>
      </c>
      <c r="AH47" s="42">
        <v>829</v>
      </c>
      <c r="AI47" s="42">
        <f t="shared" si="6"/>
        <v>152</v>
      </c>
      <c r="AJ47" s="42">
        <f t="shared" si="7"/>
        <v>804</v>
      </c>
      <c r="AK47" s="42">
        <v>8</v>
      </c>
      <c r="AL47" s="42">
        <v>2</v>
      </c>
    </row>
    <row r="48" spans="2:38" s="42" customFormat="1" x14ac:dyDescent="0.45">
      <c r="B48" s="43">
        <v>46</v>
      </c>
      <c r="C48" s="32">
        <v>710</v>
      </c>
      <c r="D48" s="33">
        <v>4</v>
      </c>
      <c r="E48" s="33">
        <v>3</v>
      </c>
      <c r="F48" s="33">
        <v>4</v>
      </c>
      <c r="G48" s="33">
        <v>27</v>
      </c>
      <c r="H48" s="11">
        <f t="shared" si="0"/>
        <v>30</v>
      </c>
      <c r="I48" s="32">
        <v>36</v>
      </c>
      <c r="J48" s="10">
        <f t="shared" si="12"/>
        <v>40</v>
      </c>
      <c r="K48" s="32">
        <v>8</v>
      </c>
      <c r="L48" s="34">
        <v>6</v>
      </c>
      <c r="M48" s="35" t="s">
        <v>1903</v>
      </c>
      <c r="N48" s="35">
        <f>G48+I48+15+P48+19</f>
        <v>115</v>
      </c>
      <c r="O48" s="35">
        <v>28</v>
      </c>
      <c r="P48" s="36">
        <v>18</v>
      </c>
      <c r="Q48" s="37">
        <v>720</v>
      </c>
      <c r="R48" s="38">
        <f t="shared" ref="R48:R57" si="15">U48+2*E48+4+P48</f>
        <v>788</v>
      </c>
      <c r="S48" s="39">
        <f t="shared" si="14"/>
        <v>833</v>
      </c>
      <c r="T48" s="17">
        <f t="shared" si="3"/>
        <v>838</v>
      </c>
      <c r="U48" s="39">
        <f t="shared" ref="U48:U66" si="16">Q48+40</f>
        <v>760</v>
      </c>
      <c r="V48" s="40">
        <v>12</v>
      </c>
      <c r="W48" s="40">
        <v>6</v>
      </c>
      <c r="X48" s="41">
        <v>10</v>
      </c>
      <c r="Y48" s="42">
        <v>150</v>
      </c>
      <c r="Z48" s="42">
        <v>670</v>
      </c>
      <c r="AA48" s="42">
        <v>12</v>
      </c>
      <c r="AB48" s="42">
        <v>630</v>
      </c>
      <c r="AC48" s="42">
        <v>913</v>
      </c>
      <c r="AD48" s="42">
        <f t="shared" si="4"/>
        <v>630</v>
      </c>
      <c r="AE48" s="42">
        <f t="shared" si="5"/>
        <v>888</v>
      </c>
      <c r="AF48" s="42">
        <v>8</v>
      </c>
      <c r="AG48" s="42">
        <v>152</v>
      </c>
      <c r="AH48" s="42">
        <v>827</v>
      </c>
      <c r="AI48" s="42">
        <f t="shared" si="6"/>
        <v>152</v>
      </c>
      <c r="AJ48" s="42">
        <f t="shared" si="7"/>
        <v>802</v>
      </c>
      <c r="AK48" s="42">
        <v>8</v>
      </c>
      <c r="AL48" s="42">
        <v>2</v>
      </c>
    </row>
    <row r="49" spans="2:38" s="42" customFormat="1" x14ac:dyDescent="0.45">
      <c r="B49" s="31">
        <v>47</v>
      </c>
      <c r="C49" s="32">
        <v>720</v>
      </c>
      <c r="D49" s="33">
        <v>4</v>
      </c>
      <c r="E49" s="33">
        <v>3</v>
      </c>
      <c r="F49" s="33">
        <v>4</v>
      </c>
      <c r="G49" s="33">
        <v>27</v>
      </c>
      <c r="H49" s="33">
        <f t="shared" si="0"/>
        <v>30</v>
      </c>
      <c r="I49" s="32">
        <v>36</v>
      </c>
      <c r="J49" s="32">
        <f t="shared" si="12"/>
        <v>40</v>
      </c>
      <c r="K49" s="32">
        <v>8</v>
      </c>
      <c r="L49" s="34">
        <v>6</v>
      </c>
      <c r="M49" s="35" t="s">
        <v>1903</v>
      </c>
      <c r="N49" s="35">
        <f t="shared" ref="N49:N57" si="17">G49+I49+15+P49+19</f>
        <v>115</v>
      </c>
      <c r="O49" s="35">
        <v>28</v>
      </c>
      <c r="P49" s="36">
        <v>18</v>
      </c>
      <c r="Q49" s="37">
        <v>730</v>
      </c>
      <c r="R49" s="38">
        <f t="shared" si="15"/>
        <v>798</v>
      </c>
      <c r="S49" s="39">
        <f t="shared" si="14"/>
        <v>843</v>
      </c>
      <c r="T49" s="39">
        <f t="shared" si="3"/>
        <v>848</v>
      </c>
      <c r="U49" s="39">
        <f t="shared" si="16"/>
        <v>770</v>
      </c>
      <c r="V49" s="40">
        <v>12</v>
      </c>
      <c r="W49" s="40">
        <v>6</v>
      </c>
      <c r="X49" s="41">
        <v>10</v>
      </c>
      <c r="Y49" s="42">
        <v>150</v>
      </c>
      <c r="Z49" s="42">
        <v>670</v>
      </c>
      <c r="AA49" s="42">
        <v>12</v>
      </c>
      <c r="AB49" s="42">
        <v>630</v>
      </c>
      <c r="AC49" s="42">
        <v>912</v>
      </c>
      <c r="AD49" s="42">
        <f t="shared" si="4"/>
        <v>630</v>
      </c>
      <c r="AE49" s="42">
        <f t="shared" si="5"/>
        <v>887</v>
      </c>
      <c r="AF49" s="42">
        <v>8</v>
      </c>
      <c r="AG49" s="42">
        <v>152</v>
      </c>
      <c r="AH49" s="42">
        <v>826</v>
      </c>
      <c r="AI49" s="42">
        <f t="shared" si="6"/>
        <v>152</v>
      </c>
      <c r="AJ49" s="42">
        <f t="shared" si="7"/>
        <v>801</v>
      </c>
      <c r="AK49" s="42">
        <v>8</v>
      </c>
      <c r="AL49" s="42">
        <v>2</v>
      </c>
    </row>
    <row r="50" spans="2:38" s="42" customFormat="1" x14ac:dyDescent="0.45">
      <c r="B50" s="43">
        <v>48</v>
      </c>
      <c r="C50" s="32">
        <v>730</v>
      </c>
      <c r="D50" s="33">
        <v>5</v>
      </c>
      <c r="E50" s="33">
        <v>3</v>
      </c>
      <c r="F50" s="33">
        <v>5</v>
      </c>
      <c r="G50" s="33">
        <v>27</v>
      </c>
      <c r="H50" s="33">
        <f t="shared" si="0"/>
        <v>30</v>
      </c>
      <c r="I50" s="32">
        <v>36</v>
      </c>
      <c r="J50" s="32">
        <f t="shared" si="12"/>
        <v>40</v>
      </c>
      <c r="K50" s="32">
        <v>8</v>
      </c>
      <c r="L50" s="34">
        <v>6</v>
      </c>
      <c r="M50" s="35" t="s">
        <v>1903</v>
      </c>
      <c r="N50" s="35">
        <f t="shared" si="17"/>
        <v>115</v>
      </c>
      <c r="O50" s="35">
        <v>28</v>
      </c>
      <c r="P50" s="36">
        <v>18</v>
      </c>
      <c r="Q50" s="37">
        <f t="shared" ref="Q50:Q113" si="18">C50+(2*D50)+2</f>
        <v>742</v>
      </c>
      <c r="R50" s="38">
        <f t="shared" si="15"/>
        <v>810</v>
      </c>
      <c r="S50" s="39">
        <f t="shared" si="14"/>
        <v>855</v>
      </c>
      <c r="T50" s="39">
        <f t="shared" si="3"/>
        <v>860</v>
      </c>
      <c r="U50" s="39">
        <f t="shared" si="16"/>
        <v>782</v>
      </c>
      <c r="V50" s="40">
        <v>12</v>
      </c>
      <c r="W50" s="40">
        <v>6</v>
      </c>
      <c r="X50" s="41">
        <v>10</v>
      </c>
      <c r="Y50" s="42">
        <v>150</v>
      </c>
      <c r="Z50" s="42">
        <v>670</v>
      </c>
      <c r="AA50" s="42">
        <v>12</v>
      </c>
      <c r="AB50" s="42">
        <v>630</v>
      </c>
      <c r="AC50" s="42">
        <v>907</v>
      </c>
      <c r="AD50" s="42">
        <f t="shared" si="4"/>
        <v>630</v>
      </c>
      <c r="AE50" s="42">
        <f t="shared" si="5"/>
        <v>882</v>
      </c>
      <c r="AF50" s="42">
        <v>8</v>
      </c>
      <c r="AG50" s="42">
        <v>152</v>
      </c>
      <c r="AH50" s="42">
        <v>824</v>
      </c>
      <c r="AI50" s="42">
        <f t="shared" si="6"/>
        <v>152</v>
      </c>
      <c r="AJ50" s="42">
        <f t="shared" si="7"/>
        <v>799</v>
      </c>
      <c r="AK50" s="42">
        <v>8</v>
      </c>
      <c r="AL50" s="42">
        <v>2</v>
      </c>
    </row>
    <row r="51" spans="2:38" s="42" customFormat="1" x14ac:dyDescent="0.45">
      <c r="B51" s="31">
        <v>49</v>
      </c>
      <c r="C51" s="32">
        <v>740</v>
      </c>
      <c r="D51" s="33">
        <v>5</v>
      </c>
      <c r="E51" s="33">
        <v>3</v>
      </c>
      <c r="F51" s="33">
        <v>5</v>
      </c>
      <c r="G51" s="33">
        <v>27</v>
      </c>
      <c r="H51" s="11">
        <f t="shared" si="0"/>
        <v>30</v>
      </c>
      <c r="I51" s="32">
        <v>36</v>
      </c>
      <c r="J51" s="10">
        <f t="shared" si="12"/>
        <v>40</v>
      </c>
      <c r="K51" s="32">
        <v>8</v>
      </c>
      <c r="L51" s="34">
        <v>6</v>
      </c>
      <c r="M51" s="35" t="s">
        <v>1903</v>
      </c>
      <c r="N51" s="35">
        <f t="shared" si="17"/>
        <v>115</v>
      </c>
      <c r="O51" s="35">
        <v>28</v>
      </c>
      <c r="P51" s="36">
        <v>18</v>
      </c>
      <c r="Q51" s="37">
        <f t="shared" si="18"/>
        <v>752</v>
      </c>
      <c r="R51" s="38">
        <f t="shared" si="15"/>
        <v>820</v>
      </c>
      <c r="S51" s="39">
        <f t="shared" si="14"/>
        <v>865</v>
      </c>
      <c r="T51" s="17">
        <f t="shared" si="3"/>
        <v>870</v>
      </c>
      <c r="U51" s="39">
        <f t="shared" si="16"/>
        <v>792</v>
      </c>
      <c r="V51" s="40">
        <v>12</v>
      </c>
      <c r="W51" s="40">
        <v>6</v>
      </c>
      <c r="X51" s="41">
        <v>10</v>
      </c>
      <c r="Y51" s="42">
        <v>150</v>
      </c>
      <c r="Z51" s="42">
        <v>670</v>
      </c>
      <c r="AA51" s="42">
        <v>12</v>
      </c>
      <c r="AB51" s="42">
        <v>630</v>
      </c>
      <c r="AC51" s="42">
        <v>903</v>
      </c>
      <c r="AD51" s="42">
        <f t="shared" si="4"/>
        <v>630</v>
      </c>
      <c r="AE51" s="42">
        <f t="shared" si="5"/>
        <v>878</v>
      </c>
      <c r="AF51" s="42">
        <v>8</v>
      </c>
      <c r="AG51" s="42">
        <v>152</v>
      </c>
      <c r="AH51" s="42">
        <v>823</v>
      </c>
      <c r="AI51" s="42">
        <f t="shared" si="6"/>
        <v>152</v>
      </c>
      <c r="AJ51" s="42">
        <f t="shared" si="7"/>
        <v>798</v>
      </c>
      <c r="AK51" s="42">
        <v>8</v>
      </c>
      <c r="AL51" s="42">
        <v>2</v>
      </c>
    </row>
    <row r="52" spans="2:38" s="42" customFormat="1" x14ac:dyDescent="0.45">
      <c r="B52" s="43">
        <v>50</v>
      </c>
      <c r="C52" s="32">
        <v>750</v>
      </c>
      <c r="D52" s="33">
        <v>5</v>
      </c>
      <c r="E52" s="33">
        <v>3</v>
      </c>
      <c r="F52" s="33">
        <v>5</v>
      </c>
      <c r="G52" s="33">
        <v>27</v>
      </c>
      <c r="H52" s="11">
        <f t="shared" si="0"/>
        <v>30</v>
      </c>
      <c r="I52" s="32">
        <v>36</v>
      </c>
      <c r="J52" s="10">
        <f t="shared" si="12"/>
        <v>40</v>
      </c>
      <c r="K52" s="32">
        <v>8</v>
      </c>
      <c r="L52" s="34">
        <v>6</v>
      </c>
      <c r="M52" s="35" t="s">
        <v>1903</v>
      </c>
      <c r="N52" s="35">
        <f t="shared" si="17"/>
        <v>115</v>
      </c>
      <c r="O52" s="35">
        <v>28</v>
      </c>
      <c r="P52" s="36">
        <v>18</v>
      </c>
      <c r="Q52" s="37">
        <f t="shared" si="18"/>
        <v>762</v>
      </c>
      <c r="R52" s="38">
        <f t="shared" si="15"/>
        <v>830</v>
      </c>
      <c r="S52" s="39">
        <f t="shared" si="14"/>
        <v>875</v>
      </c>
      <c r="T52" s="17">
        <f t="shared" si="3"/>
        <v>880</v>
      </c>
      <c r="U52" s="39">
        <f t="shared" si="16"/>
        <v>802</v>
      </c>
      <c r="V52" s="40">
        <v>12</v>
      </c>
      <c r="W52" s="40">
        <v>6</v>
      </c>
      <c r="X52" s="41">
        <v>10</v>
      </c>
      <c r="Y52" s="42">
        <v>150</v>
      </c>
      <c r="Z52" s="42">
        <v>710</v>
      </c>
      <c r="AA52" s="42">
        <v>12</v>
      </c>
      <c r="AB52" s="42">
        <v>660</v>
      </c>
      <c r="AC52" s="42">
        <v>923</v>
      </c>
      <c r="AD52" s="42">
        <f t="shared" si="4"/>
        <v>660</v>
      </c>
      <c r="AE52" s="42">
        <f t="shared" si="5"/>
        <v>898</v>
      </c>
      <c r="AF52" s="42">
        <v>8</v>
      </c>
      <c r="AG52" s="42">
        <v>152</v>
      </c>
      <c r="AH52" s="42">
        <v>830</v>
      </c>
      <c r="AI52" s="42">
        <f t="shared" si="6"/>
        <v>152</v>
      </c>
      <c r="AJ52" s="42">
        <f t="shared" si="7"/>
        <v>805</v>
      </c>
      <c r="AK52" s="42">
        <v>8</v>
      </c>
      <c r="AL52" s="42">
        <v>2</v>
      </c>
    </row>
    <row r="53" spans="2:38" s="42" customFormat="1" x14ac:dyDescent="0.45">
      <c r="B53" s="31">
        <v>51</v>
      </c>
      <c r="C53" s="32">
        <v>760</v>
      </c>
      <c r="D53" s="33">
        <v>5</v>
      </c>
      <c r="E53" s="33">
        <v>3</v>
      </c>
      <c r="F53" s="33">
        <v>5</v>
      </c>
      <c r="G53" s="33">
        <v>27</v>
      </c>
      <c r="H53" s="33">
        <f t="shared" si="0"/>
        <v>30</v>
      </c>
      <c r="I53" s="32">
        <v>36</v>
      </c>
      <c r="J53" s="32">
        <f t="shared" si="12"/>
        <v>40</v>
      </c>
      <c r="K53" s="32">
        <v>8</v>
      </c>
      <c r="L53" s="34">
        <v>6</v>
      </c>
      <c r="M53" s="35" t="s">
        <v>1903</v>
      </c>
      <c r="N53" s="35">
        <f t="shared" si="17"/>
        <v>115</v>
      </c>
      <c r="O53" s="35">
        <v>28</v>
      </c>
      <c r="P53" s="36">
        <v>18</v>
      </c>
      <c r="Q53" s="37">
        <f t="shared" si="18"/>
        <v>772</v>
      </c>
      <c r="R53" s="38">
        <f t="shared" si="15"/>
        <v>840</v>
      </c>
      <c r="S53" s="39">
        <f t="shared" si="14"/>
        <v>885</v>
      </c>
      <c r="T53" s="39">
        <f t="shared" si="3"/>
        <v>890</v>
      </c>
      <c r="U53" s="39">
        <f t="shared" si="16"/>
        <v>812</v>
      </c>
      <c r="V53" s="40">
        <v>12</v>
      </c>
      <c r="W53" s="40">
        <v>6</v>
      </c>
      <c r="X53" s="41">
        <v>10</v>
      </c>
      <c r="Y53" s="42">
        <v>150</v>
      </c>
      <c r="Z53" s="42">
        <v>710</v>
      </c>
      <c r="AA53" s="42">
        <v>12</v>
      </c>
      <c r="AB53" s="42">
        <v>660</v>
      </c>
      <c r="AC53" s="42">
        <v>918</v>
      </c>
      <c r="AD53" s="42">
        <f t="shared" si="4"/>
        <v>660</v>
      </c>
      <c r="AE53" s="42">
        <f t="shared" si="5"/>
        <v>893</v>
      </c>
      <c r="AF53" s="42">
        <v>8</v>
      </c>
      <c r="AG53" s="42">
        <v>152</v>
      </c>
      <c r="AH53" s="42">
        <v>828</v>
      </c>
      <c r="AI53" s="42">
        <f t="shared" si="6"/>
        <v>152</v>
      </c>
      <c r="AJ53" s="42">
        <f t="shared" si="7"/>
        <v>803</v>
      </c>
      <c r="AK53" s="42">
        <v>8</v>
      </c>
      <c r="AL53" s="42">
        <v>2</v>
      </c>
    </row>
    <row r="54" spans="2:38" s="42" customFormat="1" x14ac:dyDescent="0.45">
      <c r="B54" s="43">
        <v>52</v>
      </c>
      <c r="C54" s="32">
        <v>770</v>
      </c>
      <c r="D54" s="33">
        <v>5</v>
      </c>
      <c r="E54" s="33">
        <v>3</v>
      </c>
      <c r="F54" s="33">
        <v>5</v>
      </c>
      <c r="G54" s="33">
        <v>27</v>
      </c>
      <c r="H54" s="11">
        <f t="shared" si="0"/>
        <v>30</v>
      </c>
      <c r="I54" s="32">
        <v>36</v>
      </c>
      <c r="J54" s="10">
        <f t="shared" si="12"/>
        <v>40</v>
      </c>
      <c r="K54" s="32">
        <v>8</v>
      </c>
      <c r="L54" s="34">
        <v>6</v>
      </c>
      <c r="M54" s="35" t="s">
        <v>1903</v>
      </c>
      <c r="N54" s="35">
        <f t="shared" si="17"/>
        <v>115</v>
      </c>
      <c r="O54" s="35">
        <v>28</v>
      </c>
      <c r="P54" s="36">
        <v>18</v>
      </c>
      <c r="Q54" s="37">
        <f t="shared" si="18"/>
        <v>782</v>
      </c>
      <c r="R54" s="38">
        <f t="shared" si="15"/>
        <v>850</v>
      </c>
      <c r="S54" s="39">
        <f t="shared" si="14"/>
        <v>895</v>
      </c>
      <c r="T54" s="17">
        <f t="shared" si="3"/>
        <v>900</v>
      </c>
      <c r="U54" s="39">
        <f t="shared" si="16"/>
        <v>822</v>
      </c>
      <c r="V54" s="40">
        <v>12</v>
      </c>
      <c r="W54" s="40">
        <v>6</v>
      </c>
      <c r="X54" s="41">
        <v>10</v>
      </c>
      <c r="Y54" s="42">
        <v>150</v>
      </c>
      <c r="Z54" s="42">
        <v>710</v>
      </c>
      <c r="AA54" s="42">
        <v>12</v>
      </c>
      <c r="AB54" s="42">
        <v>660</v>
      </c>
      <c r="AC54" s="42">
        <v>910</v>
      </c>
      <c r="AD54" s="42">
        <f t="shared" si="4"/>
        <v>660</v>
      </c>
      <c r="AE54" s="42">
        <f t="shared" si="5"/>
        <v>885</v>
      </c>
      <c r="AF54" s="42">
        <v>8</v>
      </c>
      <c r="AG54" s="42">
        <v>152</v>
      </c>
      <c r="AH54" s="42">
        <v>825</v>
      </c>
      <c r="AI54" s="42">
        <f t="shared" si="6"/>
        <v>152</v>
      </c>
      <c r="AJ54" s="42">
        <f t="shared" si="7"/>
        <v>800</v>
      </c>
      <c r="AK54" s="42">
        <v>8</v>
      </c>
      <c r="AL54" s="42">
        <v>2</v>
      </c>
    </row>
    <row r="55" spans="2:38" s="42" customFormat="1" x14ac:dyDescent="0.45">
      <c r="B55" s="31">
        <v>53</v>
      </c>
      <c r="C55" s="32">
        <v>780</v>
      </c>
      <c r="D55" s="33">
        <v>5</v>
      </c>
      <c r="E55" s="33">
        <v>3</v>
      </c>
      <c r="F55" s="33">
        <v>5</v>
      </c>
      <c r="G55" s="33">
        <v>27</v>
      </c>
      <c r="H55" s="11">
        <f t="shared" si="0"/>
        <v>30</v>
      </c>
      <c r="I55" s="32">
        <v>36</v>
      </c>
      <c r="J55" s="10">
        <f t="shared" si="12"/>
        <v>40</v>
      </c>
      <c r="K55" s="32">
        <v>8</v>
      </c>
      <c r="L55" s="34">
        <v>6</v>
      </c>
      <c r="M55" s="35" t="s">
        <v>1903</v>
      </c>
      <c r="N55" s="35">
        <f t="shared" si="17"/>
        <v>115</v>
      </c>
      <c r="O55" s="35">
        <v>28</v>
      </c>
      <c r="P55" s="36">
        <v>18</v>
      </c>
      <c r="Q55" s="37">
        <f t="shared" si="18"/>
        <v>792</v>
      </c>
      <c r="R55" s="38">
        <f t="shared" si="15"/>
        <v>860</v>
      </c>
      <c r="S55" s="39">
        <f t="shared" si="14"/>
        <v>905</v>
      </c>
      <c r="T55" s="17">
        <f t="shared" si="3"/>
        <v>910</v>
      </c>
      <c r="U55" s="39">
        <f t="shared" si="16"/>
        <v>832</v>
      </c>
      <c r="V55" s="40">
        <v>12</v>
      </c>
      <c r="W55" s="40">
        <v>6</v>
      </c>
      <c r="X55" s="41">
        <v>10</v>
      </c>
      <c r="Y55" s="42">
        <v>150</v>
      </c>
      <c r="Z55" s="42">
        <v>710</v>
      </c>
      <c r="AA55" s="42">
        <v>12</v>
      </c>
      <c r="AB55" s="42">
        <v>660</v>
      </c>
      <c r="AC55" s="42">
        <v>910</v>
      </c>
      <c r="AD55" s="42">
        <f t="shared" si="4"/>
        <v>660</v>
      </c>
      <c r="AE55" s="42">
        <f t="shared" si="5"/>
        <v>885</v>
      </c>
      <c r="AF55" s="42">
        <v>8</v>
      </c>
      <c r="AG55" s="42">
        <v>152</v>
      </c>
      <c r="AH55" s="42">
        <v>825</v>
      </c>
      <c r="AI55" s="42">
        <f t="shared" si="6"/>
        <v>152</v>
      </c>
      <c r="AJ55" s="42">
        <f t="shared" si="7"/>
        <v>800</v>
      </c>
      <c r="AK55" s="42">
        <v>8</v>
      </c>
      <c r="AL55" s="42">
        <v>2</v>
      </c>
    </row>
    <row r="56" spans="2:38" x14ac:dyDescent="0.45">
      <c r="B56" s="27">
        <v>54</v>
      </c>
      <c r="C56" s="10">
        <v>790</v>
      </c>
      <c r="D56" s="11">
        <v>5</v>
      </c>
      <c r="E56" s="11">
        <v>3</v>
      </c>
      <c r="F56" s="11">
        <v>5</v>
      </c>
      <c r="G56" s="11">
        <v>27</v>
      </c>
      <c r="H56" s="11">
        <f t="shared" si="0"/>
        <v>30</v>
      </c>
      <c r="I56" s="10">
        <v>36</v>
      </c>
      <c r="J56" s="10">
        <f t="shared" si="12"/>
        <v>40</v>
      </c>
      <c r="K56" s="10">
        <v>8</v>
      </c>
      <c r="L56" s="12">
        <v>6</v>
      </c>
      <c r="M56" s="13" t="s">
        <v>1903</v>
      </c>
      <c r="N56" s="13">
        <f t="shared" si="17"/>
        <v>115</v>
      </c>
      <c r="O56" s="13">
        <v>28</v>
      </c>
      <c r="P56" s="14">
        <v>18</v>
      </c>
      <c r="Q56" s="15">
        <f t="shared" si="18"/>
        <v>802</v>
      </c>
      <c r="R56" s="16">
        <f t="shared" si="15"/>
        <v>870</v>
      </c>
      <c r="S56" s="17">
        <f t="shared" si="14"/>
        <v>915</v>
      </c>
      <c r="T56" s="17">
        <f t="shared" si="3"/>
        <v>920</v>
      </c>
      <c r="U56" s="17">
        <f t="shared" si="16"/>
        <v>842</v>
      </c>
      <c r="V56" s="18">
        <v>12</v>
      </c>
      <c r="W56" s="18">
        <v>6</v>
      </c>
      <c r="X56" s="21">
        <v>10</v>
      </c>
      <c r="Y56">
        <v>150</v>
      </c>
      <c r="Z56">
        <v>710</v>
      </c>
      <c r="AA56">
        <v>12</v>
      </c>
      <c r="AB56">
        <v>660</v>
      </c>
      <c r="AC56">
        <v>906</v>
      </c>
      <c r="AD56">
        <f t="shared" si="4"/>
        <v>660</v>
      </c>
      <c r="AE56">
        <f t="shared" si="5"/>
        <v>881</v>
      </c>
      <c r="AF56">
        <v>8</v>
      </c>
      <c r="AG56">
        <v>152</v>
      </c>
      <c r="AH56">
        <v>823</v>
      </c>
      <c r="AI56">
        <f t="shared" si="6"/>
        <v>152</v>
      </c>
      <c r="AJ56">
        <f t="shared" si="7"/>
        <v>798</v>
      </c>
      <c r="AK56">
        <v>8</v>
      </c>
      <c r="AL56">
        <v>2</v>
      </c>
    </row>
    <row r="57" spans="2:38" s="42" customFormat="1" x14ac:dyDescent="0.45">
      <c r="B57" s="31">
        <v>55</v>
      </c>
      <c r="C57" s="32">
        <v>800</v>
      </c>
      <c r="D57" s="33">
        <v>5</v>
      </c>
      <c r="E57" s="33">
        <v>3</v>
      </c>
      <c r="F57" s="33">
        <v>5</v>
      </c>
      <c r="G57" s="33">
        <v>27</v>
      </c>
      <c r="H57" s="11">
        <f t="shared" si="0"/>
        <v>30</v>
      </c>
      <c r="I57" s="32">
        <v>36</v>
      </c>
      <c r="J57" s="10">
        <f t="shared" si="12"/>
        <v>40</v>
      </c>
      <c r="K57" s="32">
        <v>8</v>
      </c>
      <c r="L57" s="34">
        <v>6</v>
      </c>
      <c r="M57" s="35" t="s">
        <v>1903</v>
      </c>
      <c r="N57" s="35">
        <f t="shared" si="17"/>
        <v>115</v>
      </c>
      <c r="O57" s="35">
        <v>28</v>
      </c>
      <c r="P57" s="36">
        <v>18</v>
      </c>
      <c r="Q57" s="37">
        <f t="shared" si="18"/>
        <v>812</v>
      </c>
      <c r="R57" s="38">
        <f t="shared" si="15"/>
        <v>880</v>
      </c>
      <c r="S57" s="39">
        <f t="shared" si="14"/>
        <v>925</v>
      </c>
      <c r="T57" s="17">
        <f t="shared" si="3"/>
        <v>930</v>
      </c>
      <c r="U57" s="39">
        <f t="shared" si="16"/>
        <v>852</v>
      </c>
      <c r="V57" s="40">
        <v>12</v>
      </c>
      <c r="W57" s="40">
        <v>6</v>
      </c>
      <c r="X57" s="41">
        <v>10</v>
      </c>
      <c r="Y57" s="42">
        <v>150</v>
      </c>
      <c r="Z57" s="42">
        <v>750</v>
      </c>
      <c r="AA57" s="42">
        <v>16</v>
      </c>
      <c r="AB57" s="42">
        <v>710</v>
      </c>
      <c r="AD57" s="42">
        <f t="shared" si="4"/>
        <v>710</v>
      </c>
      <c r="AE57" s="42">
        <f t="shared" si="5"/>
        <v>-25</v>
      </c>
      <c r="AI57" s="42">
        <f t="shared" si="6"/>
        <v>0</v>
      </c>
      <c r="AJ57" s="42">
        <f t="shared" si="7"/>
        <v>-25</v>
      </c>
    </row>
    <row r="58" spans="2:38" x14ac:dyDescent="0.45">
      <c r="B58" s="27">
        <v>56</v>
      </c>
      <c r="C58" s="10">
        <v>810</v>
      </c>
      <c r="D58" s="11">
        <v>5</v>
      </c>
      <c r="E58" s="11">
        <v>3</v>
      </c>
      <c r="F58" s="11">
        <v>5</v>
      </c>
      <c r="G58" s="11">
        <v>30</v>
      </c>
      <c r="H58" s="11">
        <f>G58+4</f>
        <v>34</v>
      </c>
      <c r="I58" s="10">
        <v>40</v>
      </c>
      <c r="J58" s="10">
        <f t="shared" si="12"/>
        <v>44</v>
      </c>
      <c r="K58" s="10">
        <v>8</v>
      </c>
      <c r="L58" s="12">
        <v>6</v>
      </c>
      <c r="M58" s="13" t="s">
        <v>2049</v>
      </c>
      <c r="N58" s="13">
        <f>G58+I58+15+P58+18</f>
        <v>125</v>
      </c>
      <c r="O58" s="13">
        <v>24</v>
      </c>
      <c r="P58" s="14">
        <v>22</v>
      </c>
      <c r="Q58" s="15">
        <f t="shared" si="18"/>
        <v>822</v>
      </c>
      <c r="R58" s="16">
        <f t="shared" ref="R58:R66" si="19">U58+2*E58+5+P58</f>
        <v>895</v>
      </c>
      <c r="S58" s="17">
        <f>R58+50</f>
        <v>945</v>
      </c>
      <c r="T58" s="17">
        <f t="shared" si="3"/>
        <v>950</v>
      </c>
      <c r="U58" s="17">
        <f t="shared" si="16"/>
        <v>862</v>
      </c>
      <c r="V58" s="18">
        <v>12</v>
      </c>
      <c r="W58" s="18">
        <v>6</v>
      </c>
      <c r="X58" s="21">
        <v>10</v>
      </c>
      <c r="AD58">
        <f t="shared" si="4"/>
        <v>0</v>
      </c>
      <c r="AE58">
        <f t="shared" si="5"/>
        <v>-25</v>
      </c>
      <c r="AI58">
        <f t="shared" si="6"/>
        <v>0</v>
      </c>
      <c r="AJ58">
        <f t="shared" si="7"/>
        <v>-25</v>
      </c>
    </row>
    <row r="59" spans="2:38" x14ac:dyDescent="0.45">
      <c r="B59" s="28">
        <v>57</v>
      </c>
      <c r="C59" s="10">
        <v>820</v>
      </c>
      <c r="D59" s="11">
        <v>5</v>
      </c>
      <c r="E59" s="11">
        <v>3</v>
      </c>
      <c r="F59" s="11">
        <v>5</v>
      </c>
      <c r="G59" s="11">
        <v>30</v>
      </c>
      <c r="H59" s="11">
        <f t="shared" ref="H59:H67" si="20">G59+4</f>
        <v>34</v>
      </c>
      <c r="I59" s="10">
        <v>40</v>
      </c>
      <c r="J59" s="10">
        <f t="shared" si="12"/>
        <v>44</v>
      </c>
      <c r="K59" s="10">
        <v>8</v>
      </c>
      <c r="L59" s="12">
        <v>6</v>
      </c>
      <c r="M59" s="13" t="s">
        <v>2049</v>
      </c>
      <c r="N59" s="13">
        <f t="shared" ref="N59:N67" si="21">G59+I59+15+P59+18</f>
        <v>125</v>
      </c>
      <c r="O59" s="13">
        <v>24</v>
      </c>
      <c r="P59" s="14">
        <v>22</v>
      </c>
      <c r="Q59" s="15">
        <f t="shared" si="18"/>
        <v>832</v>
      </c>
      <c r="R59" s="16">
        <f t="shared" si="19"/>
        <v>905</v>
      </c>
      <c r="S59" s="17">
        <f t="shared" ref="S59:S76" si="22">R59+50</f>
        <v>955</v>
      </c>
      <c r="T59" s="17">
        <f t="shared" si="3"/>
        <v>960</v>
      </c>
      <c r="U59" s="17">
        <f t="shared" si="16"/>
        <v>872</v>
      </c>
      <c r="V59" s="18">
        <v>12</v>
      </c>
      <c r="W59" s="18">
        <v>6</v>
      </c>
      <c r="X59" s="21">
        <v>10</v>
      </c>
      <c r="AD59">
        <f t="shared" si="4"/>
        <v>0</v>
      </c>
      <c r="AE59">
        <f t="shared" si="5"/>
        <v>-25</v>
      </c>
      <c r="AI59">
        <f t="shared" si="6"/>
        <v>0</v>
      </c>
      <c r="AJ59">
        <f t="shared" si="7"/>
        <v>-25</v>
      </c>
    </row>
    <row r="60" spans="2:38" x14ac:dyDescent="0.45">
      <c r="B60" s="27">
        <v>58</v>
      </c>
      <c r="C60" s="10">
        <v>830</v>
      </c>
      <c r="D60" s="11">
        <v>5</v>
      </c>
      <c r="E60" s="11">
        <v>3</v>
      </c>
      <c r="F60" s="11">
        <v>5</v>
      </c>
      <c r="G60" s="11">
        <v>30</v>
      </c>
      <c r="H60" s="11">
        <f t="shared" si="20"/>
        <v>34</v>
      </c>
      <c r="I60" s="10">
        <v>40</v>
      </c>
      <c r="J60" s="10">
        <f t="shared" si="12"/>
        <v>44</v>
      </c>
      <c r="K60" s="10">
        <v>8</v>
      </c>
      <c r="L60" s="12">
        <v>6</v>
      </c>
      <c r="M60" s="13" t="s">
        <v>2049</v>
      </c>
      <c r="N60" s="13">
        <f t="shared" si="21"/>
        <v>125</v>
      </c>
      <c r="O60" s="13">
        <v>24</v>
      </c>
      <c r="P60" s="14">
        <v>22</v>
      </c>
      <c r="Q60" s="15">
        <f t="shared" si="18"/>
        <v>842</v>
      </c>
      <c r="R60" s="16">
        <f t="shared" si="19"/>
        <v>915</v>
      </c>
      <c r="S60" s="17">
        <f t="shared" si="22"/>
        <v>965</v>
      </c>
      <c r="T60" s="17">
        <f t="shared" si="3"/>
        <v>970</v>
      </c>
      <c r="U60" s="17">
        <f t="shared" si="16"/>
        <v>882</v>
      </c>
      <c r="V60" s="18">
        <v>12</v>
      </c>
      <c r="W60" s="18">
        <v>6</v>
      </c>
      <c r="X60" s="21">
        <v>10</v>
      </c>
      <c r="AD60">
        <f t="shared" si="4"/>
        <v>0</v>
      </c>
      <c r="AE60">
        <f t="shared" si="5"/>
        <v>-25</v>
      </c>
      <c r="AI60">
        <f t="shared" si="6"/>
        <v>0</v>
      </c>
      <c r="AJ60">
        <f t="shared" si="7"/>
        <v>-25</v>
      </c>
    </row>
    <row r="61" spans="2:38" s="42" customFormat="1" x14ac:dyDescent="0.45">
      <c r="B61" s="31">
        <v>59</v>
      </c>
      <c r="C61" s="32">
        <v>840</v>
      </c>
      <c r="D61" s="33">
        <v>5</v>
      </c>
      <c r="E61" s="33">
        <v>3</v>
      </c>
      <c r="F61" s="33">
        <v>5</v>
      </c>
      <c r="G61" s="33">
        <v>30</v>
      </c>
      <c r="H61" s="11">
        <f t="shared" si="20"/>
        <v>34</v>
      </c>
      <c r="I61" s="32">
        <v>40</v>
      </c>
      <c r="J61" s="10">
        <f t="shared" si="12"/>
        <v>44</v>
      </c>
      <c r="K61" s="32">
        <v>8</v>
      </c>
      <c r="L61" s="34">
        <v>6</v>
      </c>
      <c r="M61" s="35" t="s">
        <v>2049</v>
      </c>
      <c r="N61" s="35">
        <f t="shared" si="21"/>
        <v>125</v>
      </c>
      <c r="O61" s="35">
        <v>28</v>
      </c>
      <c r="P61" s="36">
        <v>22</v>
      </c>
      <c r="Q61" s="37">
        <f t="shared" si="18"/>
        <v>852</v>
      </c>
      <c r="R61" s="38">
        <f t="shared" si="19"/>
        <v>925</v>
      </c>
      <c r="S61" s="39">
        <f t="shared" si="22"/>
        <v>975</v>
      </c>
      <c r="T61" s="17">
        <f t="shared" si="3"/>
        <v>980</v>
      </c>
      <c r="U61" s="39">
        <f t="shared" si="16"/>
        <v>892</v>
      </c>
      <c r="V61" s="40">
        <v>12</v>
      </c>
      <c r="W61" s="40">
        <v>6</v>
      </c>
      <c r="X61" s="41">
        <v>10</v>
      </c>
      <c r="Y61" s="42">
        <v>150</v>
      </c>
      <c r="Z61" s="42">
        <v>750</v>
      </c>
      <c r="AA61" s="42">
        <v>16</v>
      </c>
      <c r="AB61" s="42">
        <v>710</v>
      </c>
      <c r="AC61" s="42">
        <v>949</v>
      </c>
      <c r="AD61" s="42">
        <f t="shared" si="4"/>
        <v>710</v>
      </c>
      <c r="AE61" s="42">
        <f t="shared" si="5"/>
        <v>924</v>
      </c>
      <c r="AF61" s="42">
        <v>12</v>
      </c>
      <c r="AG61" s="42">
        <v>152</v>
      </c>
      <c r="AH61" s="42">
        <v>853</v>
      </c>
      <c r="AI61" s="42">
        <f t="shared" si="6"/>
        <v>152</v>
      </c>
      <c r="AJ61" s="42">
        <f t="shared" si="7"/>
        <v>828</v>
      </c>
      <c r="AK61" s="42">
        <v>12</v>
      </c>
      <c r="AL61" s="42">
        <v>2</v>
      </c>
    </row>
    <row r="62" spans="2:38" s="42" customFormat="1" x14ac:dyDescent="0.45">
      <c r="B62" s="43">
        <v>60</v>
      </c>
      <c r="C62" s="32">
        <v>850</v>
      </c>
      <c r="D62" s="33">
        <v>5</v>
      </c>
      <c r="E62" s="33">
        <v>3</v>
      </c>
      <c r="F62" s="33">
        <v>5</v>
      </c>
      <c r="G62" s="33">
        <v>30</v>
      </c>
      <c r="H62" s="11">
        <f t="shared" si="20"/>
        <v>34</v>
      </c>
      <c r="I62" s="32">
        <v>40</v>
      </c>
      <c r="J62" s="10">
        <f t="shared" si="12"/>
        <v>44</v>
      </c>
      <c r="K62" s="32">
        <v>8</v>
      </c>
      <c r="L62" s="34">
        <v>6</v>
      </c>
      <c r="M62" s="35" t="s">
        <v>2049</v>
      </c>
      <c r="N62" s="35">
        <f t="shared" si="21"/>
        <v>125</v>
      </c>
      <c r="O62" s="35">
        <v>28</v>
      </c>
      <c r="P62" s="36">
        <v>22</v>
      </c>
      <c r="Q62" s="37">
        <f t="shared" si="18"/>
        <v>862</v>
      </c>
      <c r="R62" s="38">
        <f t="shared" si="19"/>
        <v>935</v>
      </c>
      <c r="S62" s="39">
        <f t="shared" si="22"/>
        <v>985</v>
      </c>
      <c r="T62" s="17">
        <f t="shared" si="3"/>
        <v>990</v>
      </c>
      <c r="U62" s="39">
        <f t="shared" si="16"/>
        <v>902</v>
      </c>
      <c r="V62" s="40">
        <v>12</v>
      </c>
      <c r="W62" s="40">
        <v>8</v>
      </c>
      <c r="X62" s="41">
        <v>10</v>
      </c>
      <c r="Y62" s="42">
        <v>150</v>
      </c>
      <c r="Z62" s="42">
        <v>810</v>
      </c>
      <c r="AA62" s="42">
        <v>16</v>
      </c>
      <c r="AB62" s="42">
        <v>750</v>
      </c>
      <c r="AD62" s="42">
        <f t="shared" si="4"/>
        <v>750</v>
      </c>
      <c r="AE62" s="42">
        <f t="shared" si="5"/>
        <v>-25</v>
      </c>
      <c r="AF62" s="42">
        <v>12</v>
      </c>
      <c r="AG62" s="42">
        <v>152</v>
      </c>
      <c r="AI62" s="42">
        <f t="shared" si="6"/>
        <v>152</v>
      </c>
      <c r="AJ62" s="42">
        <f t="shared" si="7"/>
        <v>-25</v>
      </c>
    </row>
    <row r="63" spans="2:38" x14ac:dyDescent="0.45">
      <c r="B63" s="28">
        <v>61</v>
      </c>
      <c r="C63" s="10">
        <v>860</v>
      </c>
      <c r="D63" s="11">
        <v>5</v>
      </c>
      <c r="E63" s="11">
        <v>3</v>
      </c>
      <c r="F63" s="11">
        <v>5</v>
      </c>
      <c r="G63" s="11">
        <v>30</v>
      </c>
      <c r="H63" s="11">
        <f t="shared" si="20"/>
        <v>34</v>
      </c>
      <c r="I63" s="10">
        <v>40</v>
      </c>
      <c r="J63" s="10">
        <f t="shared" si="12"/>
        <v>44</v>
      </c>
      <c r="K63" s="10">
        <v>8</v>
      </c>
      <c r="L63" s="12">
        <v>6</v>
      </c>
      <c r="M63" s="13" t="s">
        <v>2049</v>
      </c>
      <c r="N63" s="13">
        <f t="shared" si="21"/>
        <v>125</v>
      </c>
      <c r="O63" s="13">
        <v>28</v>
      </c>
      <c r="P63" s="14">
        <v>22</v>
      </c>
      <c r="Q63" s="15">
        <f t="shared" si="18"/>
        <v>872</v>
      </c>
      <c r="R63" s="16">
        <f t="shared" si="19"/>
        <v>945</v>
      </c>
      <c r="S63" s="17">
        <f t="shared" si="22"/>
        <v>995</v>
      </c>
      <c r="T63" s="17">
        <f t="shared" si="3"/>
        <v>1000</v>
      </c>
      <c r="U63" s="17">
        <f t="shared" si="16"/>
        <v>912</v>
      </c>
      <c r="V63" s="18">
        <v>12</v>
      </c>
      <c r="W63" s="18">
        <v>8</v>
      </c>
      <c r="X63" s="21">
        <v>10</v>
      </c>
      <c r="AD63">
        <f t="shared" si="4"/>
        <v>0</v>
      </c>
      <c r="AE63">
        <f t="shared" si="5"/>
        <v>-25</v>
      </c>
      <c r="AI63">
        <f t="shared" si="6"/>
        <v>0</v>
      </c>
      <c r="AJ63">
        <f t="shared" si="7"/>
        <v>-25</v>
      </c>
    </row>
    <row r="64" spans="2:38" x14ac:dyDescent="0.45">
      <c r="B64" s="27">
        <v>62</v>
      </c>
      <c r="C64" s="10">
        <v>870</v>
      </c>
      <c r="D64" s="11">
        <v>5</v>
      </c>
      <c r="E64" s="11">
        <v>3</v>
      </c>
      <c r="F64" s="11">
        <v>5</v>
      </c>
      <c r="G64" s="11">
        <v>30</v>
      </c>
      <c r="H64" s="11">
        <f t="shared" si="20"/>
        <v>34</v>
      </c>
      <c r="I64" s="10">
        <v>40</v>
      </c>
      <c r="J64" s="10">
        <f t="shared" si="12"/>
        <v>44</v>
      </c>
      <c r="K64" s="10">
        <v>8</v>
      </c>
      <c r="L64" s="12">
        <v>6</v>
      </c>
      <c r="M64" s="13" t="s">
        <v>2049</v>
      </c>
      <c r="N64" s="13">
        <f t="shared" si="21"/>
        <v>125</v>
      </c>
      <c r="O64" s="13">
        <v>28</v>
      </c>
      <c r="P64" s="14">
        <v>22</v>
      </c>
      <c r="Q64" s="15">
        <f t="shared" si="18"/>
        <v>882</v>
      </c>
      <c r="R64" s="16">
        <f t="shared" si="19"/>
        <v>955</v>
      </c>
      <c r="S64" s="17">
        <f t="shared" si="22"/>
        <v>1005</v>
      </c>
      <c r="T64" s="17">
        <f t="shared" si="3"/>
        <v>1010</v>
      </c>
      <c r="U64" s="17">
        <f t="shared" si="16"/>
        <v>922</v>
      </c>
      <c r="V64" s="18">
        <v>12</v>
      </c>
      <c r="W64" s="18">
        <v>8</v>
      </c>
      <c r="X64" s="21">
        <v>10</v>
      </c>
      <c r="AD64">
        <f t="shared" si="4"/>
        <v>0</v>
      </c>
      <c r="AE64">
        <f t="shared" si="5"/>
        <v>-25</v>
      </c>
      <c r="AI64">
        <f t="shared" si="6"/>
        <v>0</v>
      </c>
      <c r="AJ64">
        <f t="shared" si="7"/>
        <v>-25</v>
      </c>
    </row>
    <row r="65" spans="2:36" x14ac:dyDescent="0.45">
      <c r="B65" s="28">
        <v>63</v>
      </c>
      <c r="C65" s="10">
        <v>880</v>
      </c>
      <c r="D65" s="11">
        <v>5</v>
      </c>
      <c r="E65" s="11">
        <v>3</v>
      </c>
      <c r="F65" s="11">
        <v>5</v>
      </c>
      <c r="G65" s="11">
        <v>30</v>
      </c>
      <c r="H65" s="11">
        <f t="shared" si="20"/>
        <v>34</v>
      </c>
      <c r="I65" s="10">
        <v>40</v>
      </c>
      <c r="J65" s="10">
        <f t="shared" si="12"/>
        <v>44</v>
      </c>
      <c r="K65" s="10">
        <v>8</v>
      </c>
      <c r="L65" s="12">
        <v>6</v>
      </c>
      <c r="M65" s="13" t="s">
        <v>2049</v>
      </c>
      <c r="N65" s="13">
        <f t="shared" si="21"/>
        <v>125</v>
      </c>
      <c r="O65" s="13">
        <v>28</v>
      </c>
      <c r="P65" s="14">
        <v>22</v>
      </c>
      <c r="Q65" s="15">
        <f t="shared" si="18"/>
        <v>892</v>
      </c>
      <c r="R65" s="16">
        <f t="shared" si="19"/>
        <v>965</v>
      </c>
      <c r="S65" s="17">
        <f t="shared" si="22"/>
        <v>1015</v>
      </c>
      <c r="T65" s="17">
        <f t="shared" si="3"/>
        <v>1020</v>
      </c>
      <c r="U65" s="17">
        <f t="shared" si="16"/>
        <v>932</v>
      </c>
      <c r="V65" s="18">
        <v>12</v>
      </c>
      <c r="W65" s="18">
        <v>8</v>
      </c>
      <c r="X65" s="21">
        <v>10</v>
      </c>
      <c r="AD65">
        <f t="shared" si="4"/>
        <v>0</v>
      </c>
      <c r="AE65">
        <f t="shared" si="5"/>
        <v>-25</v>
      </c>
      <c r="AI65">
        <f t="shared" si="6"/>
        <v>0</v>
      </c>
      <c r="AJ65">
        <f t="shared" si="7"/>
        <v>-25</v>
      </c>
    </row>
    <row r="66" spans="2:36" x14ac:dyDescent="0.45">
      <c r="B66" s="27">
        <v>64</v>
      </c>
      <c r="C66" s="10">
        <v>890</v>
      </c>
      <c r="D66" s="11">
        <v>5</v>
      </c>
      <c r="E66" s="11">
        <v>3</v>
      </c>
      <c r="F66" s="11">
        <v>5</v>
      </c>
      <c r="G66" s="11">
        <v>30</v>
      </c>
      <c r="H66" s="11">
        <f t="shared" si="20"/>
        <v>34</v>
      </c>
      <c r="I66" s="10">
        <v>40</v>
      </c>
      <c r="J66" s="10">
        <f t="shared" si="12"/>
        <v>44</v>
      </c>
      <c r="K66" s="10">
        <v>8</v>
      </c>
      <c r="L66" s="12">
        <v>6</v>
      </c>
      <c r="M66" s="13" t="s">
        <v>2049</v>
      </c>
      <c r="N66" s="13">
        <f t="shared" si="21"/>
        <v>125</v>
      </c>
      <c r="O66" s="13">
        <v>28</v>
      </c>
      <c r="P66" s="14">
        <v>22</v>
      </c>
      <c r="Q66" s="15">
        <f t="shared" si="18"/>
        <v>902</v>
      </c>
      <c r="R66" s="16">
        <f t="shared" si="19"/>
        <v>975</v>
      </c>
      <c r="S66" s="17">
        <f t="shared" si="22"/>
        <v>1025</v>
      </c>
      <c r="T66" s="17">
        <f t="shared" si="3"/>
        <v>1030</v>
      </c>
      <c r="U66" s="17">
        <f t="shared" si="16"/>
        <v>942</v>
      </c>
      <c r="V66" s="18">
        <v>12</v>
      </c>
      <c r="W66" s="18">
        <v>8</v>
      </c>
      <c r="X66" s="21">
        <v>10</v>
      </c>
      <c r="AD66">
        <f t="shared" si="4"/>
        <v>0</v>
      </c>
      <c r="AE66">
        <f t="shared" si="5"/>
        <v>-25</v>
      </c>
      <c r="AI66">
        <f t="shared" si="6"/>
        <v>0</v>
      </c>
      <c r="AJ66">
        <f t="shared" si="7"/>
        <v>-25</v>
      </c>
    </row>
    <row r="67" spans="2:36" x14ac:dyDescent="0.45">
      <c r="B67" s="28">
        <v>65</v>
      </c>
      <c r="C67" s="10">
        <v>900</v>
      </c>
      <c r="D67" s="11">
        <v>5</v>
      </c>
      <c r="E67" s="11">
        <v>3</v>
      </c>
      <c r="F67" s="11">
        <v>5</v>
      </c>
      <c r="G67" s="11">
        <v>30</v>
      </c>
      <c r="H67" s="11">
        <f t="shared" si="20"/>
        <v>34</v>
      </c>
      <c r="I67" s="10">
        <v>40</v>
      </c>
      <c r="J67" s="10">
        <f t="shared" si="12"/>
        <v>44</v>
      </c>
      <c r="K67" s="10">
        <v>8</v>
      </c>
      <c r="L67" s="12">
        <v>6</v>
      </c>
      <c r="M67" s="13" t="s">
        <v>2049</v>
      </c>
      <c r="N67" s="13">
        <f t="shared" si="21"/>
        <v>125</v>
      </c>
      <c r="O67" s="13">
        <v>28</v>
      </c>
      <c r="P67" s="14">
        <v>22</v>
      </c>
      <c r="Q67" s="15">
        <f t="shared" si="18"/>
        <v>912</v>
      </c>
      <c r="R67" s="16">
        <v>1000</v>
      </c>
      <c r="S67" s="17">
        <f t="shared" si="22"/>
        <v>1050</v>
      </c>
      <c r="T67" s="17">
        <f t="shared" si="3"/>
        <v>1055</v>
      </c>
      <c r="U67" s="17">
        <f>Q67+52</f>
        <v>964</v>
      </c>
      <c r="V67" s="18">
        <v>12</v>
      </c>
      <c r="W67" s="18">
        <v>8</v>
      </c>
      <c r="X67" s="21">
        <v>10</v>
      </c>
      <c r="AD67">
        <f t="shared" si="4"/>
        <v>0</v>
      </c>
      <c r="AE67">
        <f t="shared" si="5"/>
        <v>-25</v>
      </c>
      <c r="AI67">
        <f t="shared" si="6"/>
        <v>0</v>
      </c>
      <c r="AJ67">
        <f t="shared" si="7"/>
        <v>-25</v>
      </c>
    </row>
    <row r="68" spans="2:36" x14ac:dyDescent="0.45">
      <c r="B68" s="27">
        <v>66</v>
      </c>
      <c r="C68" s="10">
        <v>910</v>
      </c>
      <c r="D68" s="11">
        <v>5</v>
      </c>
      <c r="E68" s="11">
        <v>3</v>
      </c>
      <c r="F68" s="11">
        <v>5</v>
      </c>
      <c r="G68" s="11">
        <v>32</v>
      </c>
      <c r="H68" s="11">
        <f t="shared" ref="H68:H76" si="23">G68+3</f>
        <v>35</v>
      </c>
      <c r="I68" s="10">
        <v>42</v>
      </c>
      <c r="J68" s="10">
        <f t="shared" si="12"/>
        <v>46</v>
      </c>
      <c r="K68" s="10">
        <v>8</v>
      </c>
      <c r="L68" s="12">
        <v>6</v>
      </c>
      <c r="M68" s="13" t="s">
        <v>2049</v>
      </c>
      <c r="N68" s="13">
        <f>G68+I68+15+P68+19</f>
        <v>130</v>
      </c>
      <c r="O68" s="13">
        <v>28</v>
      </c>
      <c r="P68" s="14">
        <v>22</v>
      </c>
      <c r="Q68" s="15">
        <f t="shared" si="18"/>
        <v>922</v>
      </c>
      <c r="R68" s="16">
        <v>1010</v>
      </c>
      <c r="S68" s="17">
        <f t="shared" si="22"/>
        <v>1060</v>
      </c>
      <c r="T68" s="17">
        <f t="shared" ref="T68:T131" si="24">S68+5</f>
        <v>1065</v>
      </c>
      <c r="U68" s="17">
        <f t="shared" ref="U68:U76" si="25">Q68+52</f>
        <v>974</v>
      </c>
      <c r="V68" s="18">
        <v>12</v>
      </c>
      <c r="W68" s="18">
        <v>8</v>
      </c>
      <c r="X68" s="21">
        <v>10</v>
      </c>
      <c r="AD68">
        <f t="shared" si="4"/>
        <v>0</v>
      </c>
      <c r="AE68">
        <f t="shared" si="5"/>
        <v>-25</v>
      </c>
      <c r="AI68">
        <f t="shared" si="6"/>
        <v>0</v>
      </c>
      <c r="AJ68">
        <f t="shared" si="7"/>
        <v>-25</v>
      </c>
    </row>
    <row r="69" spans="2:36" x14ac:dyDescent="0.45">
      <c r="B69" s="28">
        <v>67</v>
      </c>
      <c r="C69" s="10">
        <v>920</v>
      </c>
      <c r="D69" s="11">
        <v>5</v>
      </c>
      <c r="E69" s="11">
        <v>3</v>
      </c>
      <c r="F69" s="11">
        <v>5</v>
      </c>
      <c r="G69" s="11">
        <v>32</v>
      </c>
      <c r="H69" s="11">
        <f t="shared" si="23"/>
        <v>35</v>
      </c>
      <c r="I69" s="10">
        <v>42</v>
      </c>
      <c r="J69" s="10">
        <f t="shared" si="12"/>
        <v>46</v>
      </c>
      <c r="K69" s="10">
        <v>8</v>
      </c>
      <c r="L69" s="12">
        <v>6</v>
      </c>
      <c r="M69" s="13" t="s">
        <v>2049</v>
      </c>
      <c r="N69" s="13">
        <f t="shared" ref="N69:N76" si="26">G69+I69+15+P69+19</f>
        <v>130</v>
      </c>
      <c r="O69" s="13">
        <v>28</v>
      </c>
      <c r="P69" s="14">
        <v>22</v>
      </c>
      <c r="Q69" s="15">
        <f t="shared" si="18"/>
        <v>932</v>
      </c>
      <c r="R69" s="16">
        <v>1020</v>
      </c>
      <c r="S69" s="17">
        <f t="shared" si="22"/>
        <v>1070</v>
      </c>
      <c r="T69" s="17">
        <f t="shared" si="24"/>
        <v>1075</v>
      </c>
      <c r="U69" s="17">
        <f t="shared" si="25"/>
        <v>984</v>
      </c>
      <c r="V69" s="18">
        <v>12</v>
      </c>
      <c r="W69" s="18">
        <v>8</v>
      </c>
      <c r="X69" s="21">
        <v>10</v>
      </c>
      <c r="AD69">
        <f t="shared" ref="AD69:AD83" si="27">AB69</f>
        <v>0</v>
      </c>
      <c r="AE69">
        <f t="shared" ref="AE69:AE83" si="28">AC69-25</f>
        <v>-25</v>
      </c>
      <c r="AI69">
        <f t="shared" ref="AI69:AI83" si="29">AG69</f>
        <v>0</v>
      </c>
      <c r="AJ69">
        <f t="shared" ref="AJ69:AJ83" si="30">AH69-25</f>
        <v>-25</v>
      </c>
    </row>
    <row r="70" spans="2:36" x14ac:dyDescent="0.45">
      <c r="B70" s="27">
        <v>68</v>
      </c>
      <c r="C70" s="10">
        <v>930</v>
      </c>
      <c r="D70" s="11">
        <v>5</v>
      </c>
      <c r="E70" s="11">
        <v>3</v>
      </c>
      <c r="F70" s="11">
        <v>5</v>
      </c>
      <c r="G70" s="11">
        <v>32</v>
      </c>
      <c r="H70" s="11">
        <f t="shared" si="23"/>
        <v>35</v>
      </c>
      <c r="I70" s="10">
        <v>42</v>
      </c>
      <c r="J70" s="10">
        <f t="shared" si="12"/>
        <v>46</v>
      </c>
      <c r="K70" s="10">
        <v>8</v>
      </c>
      <c r="L70" s="12">
        <v>6</v>
      </c>
      <c r="M70" s="13" t="s">
        <v>2049</v>
      </c>
      <c r="N70" s="13">
        <f t="shared" si="26"/>
        <v>130</v>
      </c>
      <c r="O70" s="13">
        <v>28</v>
      </c>
      <c r="P70" s="14">
        <v>22</v>
      </c>
      <c r="Q70" s="15">
        <f t="shared" si="18"/>
        <v>942</v>
      </c>
      <c r="R70" s="16">
        <v>1030</v>
      </c>
      <c r="S70" s="17">
        <f t="shared" si="22"/>
        <v>1080</v>
      </c>
      <c r="T70" s="17">
        <f t="shared" si="24"/>
        <v>1085</v>
      </c>
      <c r="U70" s="17">
        <f t="shared" si="25"/>
        <v>994</v>
      </c>
      <c r="V70" s="18">
        <v>12</v>
      </c>
      <c r="W70" s="18">
        <v>8</v>
      </c>
      <c r="X70" s="21">
        <v>10</v>
      </c>
      <c r="AD70">
        <f t="shared" si="27"/>
        <v>0</v>
      </c>
      <c r="AE70">
        <f t="shared" si="28"/>
        <v>-25</v>
      </c>
      <c r="AI70">
        <f t="shared" si="29"/>
        <v>0</v>
      </c>
      <c r="AJ70">
        <f t="shared" si="30"/>
        <v>-25</v>
      </c>
    </row>
    <row r="71" spans="2:36" x14ac:dyDescent="0.45">
      <c r="B71" s="28">
        <v>69</v>
      </c>
      <c r="C71" s="10">
        <v>940</v>
      </c>
      <c r="D71" s="11">
        <v>5</v>
      </c>
      <c r="E71" s="11">
        <v>3</v>
      </c>
      <c r="F71" s="11">
        <v>5</v>
      </c>
      <c r="G71" s="11">
        <v>32</v>
      </c>
      <c r="H71" s="11">
        <f t="shared" si="23"/>
        <v>35</v>
      </c>
      <c r="I71" s="10">
        <v>42</v>
      </c>
      <c r="J71" s="10">
        <f t="shared" si="12"/>
        <v>46</v>
      </c>
      <c r="K71" s="10">
        <v>8</v>
      </c>
      <c r="L71" s="12">
        <v>6</v>
      </c>
      <c r="M71" s="13" t="s">
        <v>2049</v>
      </c>
      <c r="N71" s="13">
        <f t="shared" si="26"/>
        <v>130</v>
      </c>
      <c r="O71" s="13">
        <v>28</v>
      </c>
      <c r="P71" s="14">
        <v>22</v>
      </c>
      <c r="Q71" s="15">
        <f t="shared" si="18"/>
        <v>952</v>
      </c>
      <c r="R71" s="16">
        <v>1040</v>
      </c>
      <c r="S71" s="17">
        <f t="shared" si="22"/>
        <v>1090</v>
      </c>
      <c r="T71" s="17">
        <f t="shared" si="24"/>
        <v>1095</v>
      </c>
      <c r="U71" s="17">
        <f t="shared" si="25"/>
        <v>1004</v>
      </c>
      <c r="V71" s="18">
        <v>12</v>
      </c>
      <c r="W71" s="18">
        <v>8</v>
      </c>
      <c r="X71" s="21">
        <v>10</v>
      </c>
      <c r="AD71">
        <f t="shared" si="27"/>
        <v>0</v>
      </c>
      <c r="AE71">
        <f t="shared" si="28"/>
        <v>-25</v>
      </c>
      <c r="AI71">
        <f t="shared" si="29"/>
        <v>0</v>
      </c>
      <c r="AJ71">
        <f t="shared" si="30"/>
        <v>-25</v>
      </c>
    </row>
    <row r="72" spans="2:36" x14ac:dyDescent="0.45">
      <c r="B72" s="27">
        <v>70</v>
      </c>
      <c r="C72" s="10">
        <v>950</v>
      </c>
      <c r="D72" s="11">
        <v>5</v>
      </c>
      <c r="E72" s="11">
        <v>3</v>
      </c>
      <c r="F72" s="11">
        <v>5</v>
      </c>
      <c r="G72" s="11">
        <v>32</v>
      </c>
      <c r="H72" s="11">
        <f t="shared" si="23"/>
        <v>35</v>
      </c>
      <c r="I72" s="10">
        <v>42</v>
      </c>
      <c r="J72" s="10">
        <f t="shared" si="12"/>
        <v>46</v>
      </c>
      <c r="K72" s="10">
        <v>8</v>
      </c>
      <c r="L72" s="12">
        <v>6</v>
      </c>
      <c r="M72" s="13" t="s">
        <v>2049</v>
      </c>
      <c r="N72" s="13">
        <f t="shared" si="26"/>
        <v>130</v>
      </c>
      <c r="O72" s="13">
        <v>28</v>
      </c>
      <c r="P72" s="14">
        <v>22</v>
      </c>
      <c r="Q72" s="15">
        <f t="shared" si="18"/>
        <v>962</v>
      </c>
      <c r="R72" s="16">
        <v>1050</v>
      </c>
      <c r="S72" s="17">
        <f t="shared" si="22"/>
        <v>1100</v>
      </c>
      <c r="T72" s="17">
        <f t="shared" si="24"/>
        <v>1105</v>
      </c>
      <c r="U72" s="17">
        <f t="shared" si="25"/>
        <v>1014</v>
      </c>
      <c r="V72" s="18">
        <v>12</v>
      </c>
      <c r="W72" s="18">
        <v>8</v>
      </c>
      <c r="X72" s="21">
        <v>10</v>
      </c>
      <c r="AD72">
        <f t="shared" si="27"/>
        <v>0</v>
      </c>
      <c r="AE72">
        <f t="shared" si="28"/>
        <v>-25</v>
      </c>
      <c r="AI72">
        <f t="shared" si="29"/>
        <v>0</v>
      </c>
      <c r="AJ72">
        <f t="shared" si="30"/>
        <v>-25</v>
      </c>
    </row>
    <row r="73" spans="2:36" x14ac:dyDescent="0.45">
      <c r="B73" s="28">
        <v>71</v>
      </c>
      <c r="C73" s="10">
        <v>960</v>
      </c>
      <c r="D73" s="11">
        <v>5</v>
      </c>
      <c r="E73" s="11">
        <v>3</v>
      </c>
      <c r="F73" s="11">
        <v>5</v>
      </c>
      <c r="G73" s="11">
        <v>32</v>
      </c>
      <c r="H73" s="11">
        <f t="shared" si="23"/>
        <v>35</v>
      </c>
      <c r="I73" s="10">
        <v>42</v>
      </c>
      <c r="J73" s="10">
        <f t="shared" si="12"/>
        <v>46</v>
      </c>
      <c r="K73" s="10">
        <v>8</v>
      </c>
      <c r="L73" s="12">
        <v>6</v>
      </c>
      <c r="M73" s="13" t="s">
        <v>2049</v>
      </c>
      <c r="N73" s="13">
        <f t="shared" si="26"/>
        <v>130</v>
      </c>
      <c r="O73" s="13">
        <v>28</v>
      </c>
      <c r="P73" s="14">
        <v>22</v>
      </c>
      <c r="Q73" s="15">
        <f t="shared" si="18"/>
        <v>972</v>
      </c>
      <c r="R73" s="16">
        <v>1060</v>
      </c>
      <c r="S73" s="17">
        <f t="shared" si="22"/>
        <v>1110</v>
      </c>
      <c r="T73" s="17">
        <f t="shared" si="24"/>
        <v>1115</v>
      </c>
      <c r="U73" s="17">
        <f t="shared" si="25"/>
        <v>1024</v>
      </c>
      <c r="V73" s="18">
        <v>12</v>
      </c>
      <c r="W73" s="18">
        <v>8</v>
      </c>
      <c r="X73" s="21">
        <v>10</v>
      </c>
      <c r="AD73">
        <f t="shared" si="27"/>
        <v>0</v>
      </c>
      <c r="AE73">
        <f t="shared" si="28"/>
        <v>-25</v>
      </c>
      <c r="AI73">
        <f t="shared" si="29"/>
        <v>0</v>
      </c>
      <c r="AJ73">
        <f t="shared" si="30"/>
        <v>-25</v>
      </c>
    </row>
    <row r="74" spans="2:36" x14ac:dyDescent="0.45">
      <c r="B74" s="27">
        <v>72</v>
      </c>
      <c r="C74" s="10">
        <v>970</v>
      </c>
      <c r="D74" s="11">
        <v>5</v>
      </c>
      <c r="E74" s="11">
        <v>3</v>
      </c>
      <c r="F74" s="11">
        <v>5</v>
      </c>
      <c r="G74" s="11">
        <v>32</v>
      </c>
      <c r="H74" s="11">
        <f t="shared" si="23"/>
        <v>35</v>
      </c>
      <c r="I74" s="10">
        <v>42</v>
      </c>
      <c r="J74" s="10">
        <f t="shared" si="12"/>
        <v>46</v>
      </c>
      <c r="K74" s="10">
        <v>8</v>
      </c>
      <c r="L74" s="12">
        <v>8</v>
      </c>
      <c r="M74" s="13" t="s">
        <v>2049</v>
      </c>
      <c r="N74" s="13">
        <f t="shared" si="26"/>
        <v>130</v>
      </c>
      <c r="O74" s="13">
        <v>28</v>
      </c>
      <c r="P74" s="14">
        <v>22</v>
      </c>
      <c r="Q74" s="15">
        <f t="shared" si="18"/>
        <v>982</v>
      </c>
      <c r="R74" s="16">
        <v>1070</v>
      </c>
      <c r="S74" s="17">
        <f t="shared" si="22"/>
        <v>1120</v>
      </c>
      <c r="T74" s="17">
        <f t="shared" si="24"/>
        <v>1125</v>
      </c>
      <c r="U74" s="17">
        <f t="shared" si="25"/>
        <v>1034</v>
      </c>
      <c r="V74" s="18">
        <v>12</v>
      </c>
      <c r="W74" s="18">
        <v>8</v>
      </c>
      <c r="X74" s="21">
        <v>10</v>
      </c>
      <c r="AD74">
        <f t="shared" si="27"/>
        <v>0</v>
      </c>
      <c r="AE74">
        <f t="shared" si="28"/>
        <v>-25</v>
      </c>
      <c r="AI74">
        <f t="shared" si="29"/>
        <v>0</v>
      </c>
      <c r="AJ74">
        <f t="shared" si="30"/>
        <v>-25</v>
      </c>
    </row>
    <row r="75" spans="2:36" x14ac:dyDescent="0.45">
      <c r="B75" s="28">
        <v>73</v>
      </c>
      <c r="C75" s="10">
        <v>980</v>
      </c>
      <c r="D75" s="11">
        <v>5</v>
      </c>
      <c r="E75" s="11">
        <v>3</v>
      </c>
      <c r="F75" s="11">
        <v>5</v>
      </c>
      <c r="G75" s="11">
        <v>32</v>
      </c>
      <c r="H75" s="11">
        <f t="shared" si="23"/>
        <v>35</v>
      </c>
      <c r="I75" s="10">
        <v>42</v>
      </c>
      <c r="J75" s="10">
        <f t="shared" si="12"/>
        <v>46</v>
      </c>
      <c r="K75" s="10">
        <v>8</v>
      </c>
      <c r="L75" s="12">
        <v>8</v>
      </c>
      <c r="M75" s="13" t="s">
        <v>2049</v>
      </c>
      <c r="N75" s="13">
        <f t="shared" si="26"/>
        <v>130</v>
      </c>
      <c r="O75" s="13">
        <v>28</v>
      </c>
      <c r="P75" s="14">
        <v>22</v>
      </c>
      <c r="Q75" s="15">
        <f t="shared" si="18"/>
        <v>992</v>
      </c>
      <c r="R75" s="16">
        <v>1080</v>
      </c>
      <c r="S75" s="17">
        <f t="shared" si="22"/>
        <v>1130</v>
      </c>
      <c r="T75" s="17">
        <f t="shared" si="24"/>
        <v>1135</v>
      </c>
      <c r="U75" s="17">
        <f t="shared" si="25"/>
        <v>1044</v>
      </c>
      <c r="V75" s="18">
        <v>12</v>
      </c>
      <c r="W75" s="18">
        <v>8</v>
      </c>
      <c r="X75" s="21">
        <v>10</v>
      </c>
      <c r="AD75">
        <f t="shared" si="27"/>
        <v>0</v>
      </c>
      <c r="AE75">
        <f t="shared" si="28"/>
        <v>-25</v>
      </c>
      <c r="AI75">
        <f t="shared" si="29"/>
        <v>0</v>
      </c>
      <c r="AJ75">
        <f t="shared" si="30"/>
        <v>-25</v>
      </c>
    </row>
    <row r="76" spans="2:36" x14ac:dyDescent="0.45">
      <c r="B76" s="27">
        <v>74</v>
      </c>
      <c r="C76" s="10">
        <v>990</v>
      </c>
      <c r="D76" s="11">
        <v>5</v>
      </c>
      <c r="E76" s="11">
        <v>3</v>
      </c>
      <c r="F76" s="11">
        <v>5</v>
      </c>
      <c r="G76" s="11">
        <v>32</v>
      </c>
      <c r="H76" s="11">
        <f t="shared" si="23"/>
        <v>35</v>
      </c>
      <c r="I76" s="10">
        <v>42</v>
      </c>
      <c r="J76" s="10">
        <f t="shared" si="12"/>
        <v>46</v>
      </c>
      <c r="K76" s="10">
        <v>8</v>
      </c>
      <c r="L76" s="12">
        <v>8</v>
      </c>
      <c r="M76" s="13" t="s">
        <v>2049</v>
      </c>
      <c r="N76" s="13">
        <f t="shared" si="26"/>
        <v>130</v>
      </c>
      <c r="O76" s="13">
        <v>28</v>
      </c>
      <c r="P76" s="14">
        <v>22</v>
      </c>
      <c r="Q76" s="15">
        <f t="shared" si="18"/>
        <v>1002</v>
      </c>
      <c r="R76" s="16">
        <v>1090</v>
      </c>
      <c r="S76" s="17">
        <f t="shared" si="22"/>
        <v>1140</v>
      </c>
      <c r="T76" s="17">
        <f t="shared" si="24"/>
        <v>1145</v>
      </c>
      <c r="U76" s="17">
        <f t="shared" si="25"/>
        <v>1054</v>
      </c>
      <c r="V76" s="18">
        <v>12</v>
      </c>
      <c r="W76" s="18">
        <v>8</v>
      </c>
      <c r="X76" s="21">
        <v>10</v>
      </c>
      <c r="AD76">
        <f t="shared" si="27"/>
        <v>0</v>
      </c>
      <c r="AE76">
        <f t="shared" si="28"/>
        <v>-25</v>
      </c>
      <c r="AI76">
        <f t="shared" si="29"/>
        <v>0</v>
      </c>
      <c r="AJ76">
        <f t="shared" si="30"/>
        <v>-25</v>
      </c>
    </row>
    <row r="77" spans="2:36" x14ac:dyDescent="0.45">
      <c r="B77" s="28">
        <v>75</v>
      </c>
      <c r="C77" s="10">
        <v>1000</v>
      </c>
      <c r="D77" s="11">
        <v>6</v>
      </c>
      <c r="E77" s="11">
        <v>4</v>
      </c>
      <c r="F77" s="11">
        <v>6</v>
      </c>
      <c r="G77" s="11">
        <v>34</v>
      </c>
      <c r="H77" s="11">
        <f>G77+4</f>
        <v>38</v>
      </c>
      <c r="I77" s="10">
        <v>45</v>
      </c>
      <c r="J77" s="10">
        <f>I77+5</f>
        <v>50</v>
      </c>
      <c r="K77" s="10">
        <v>8</v>
      </c>
      <c r="L77" s="12">
        <v>8</v>
      </c>
      <c r="M77" s="13" t="s">
        <v>2049</v>
      </c>
      <c r="N77" s="13">
        <f>G77+I77+15+P77+19</f>
        <v>135</v>
      </c>
      <c r="O77" s="13">
        <v>32</v>
      </c>
      <c r="P77" s="14">
        <v>22</v>
      </c>
      <c r="Q77" s="15">
        <f t="shared" si="18"/>
        <v>1014</v>
      </c>
      <c r="R77" s="16">
        <v>1100</v>
      </c>
      <c r="S77" s="17">
        <f>R77+50</f>
        <v>1150</v>
      </c>
      <c r="T77" s="17">
        <f t="shared" si="24"/>
        <v>1155</v>
      </c>
      <c r="U77" s="17">
        <f t="shared" ref="U77:U127" si="31">Q77+50</f>
        <v>1064</v>
      </c>
      <c r="V77" s="18">
        <v>12</v>
      </c>
      <c r="W77" s="18">
        <v>8</v>
      </c>
      <c r="X77" s="21">
        <v>10</v>
      </c>
      <c r="AD77">
        <f t="shared" si="27"/>
        <v>0</v>
      </c>
      <c r="AE77">
        <f t="shared" si="28"/>
        <v>-25</v>
      </c>
      <c r="AI77">
        <f t="shared" si="29"/>
        <v>0</v>
      </c>
      <c r="AJ77">
        <f t="shared" si="30"/>
        <v>-25</v>
      </c>
    </row>
    <row r="78" spans="2:36" x14ac:dyDescent="0.45">
      <c r="B78" s="27">
        <v>76</v>
      </c>
      <c r="C78" s="10">
        <v>1010</v>
      </c>
      <c r="D78" s="11">
        <v>6</v>
      </c>
      <c r="E78" s="11">
        <v>4</v>
      </c>
      <c r="F78" s="11">
        <v>6</v>
      </c>
      <c r="G78" s="11">
        <v>34</v>
      </c>
      <c r="H78" s="11">
        <f t="shared" ref="H78:H106" si="32">G78+4</f>
        <v>38</v>
      </c>
      <c r="I78" s="10">
        <v>45</v>
      </c>
      <c r="J78" s="10">
        <f t="shared" ref="J78:J106" si="33">I78+5</f>
        <v>50</v>
      </c>
      <c r="K78" s="10">
        <v>8</v>
      </c>
      <c r="L78" s="12">
        <v>8</v>
      </c>
      <c r="M78" s="13" t="s">
        <v>2049</v>
      </c>
      <c r="N78" s="13">
        <f t="shared" ref="N78:N87" si="34">G78+I78+15+P78+19</f>
        <v>135</v>
      </c>
      <c r="O78" s="13">
        <v>32</v>
      </c>
      <c r="P78" s="14">
        <v>22</v>
      </c>
      <c r="Q78" s="15">
        <f t="shared" si="18"/>
        <v>1024</v>
      </c>
      <c r="R78" s="16">
        <f t="shared" ref="R78:R87" si="35">U78+2*E78+6+P78</f>
        <v>1110</v>
      </c>
      <c r="S78" s="17">
        <f t="shared" ref="S78:S127" si="36">R78+50</f>
        <v>1160</v>
      </c>
      <c r="T78" s="17">
        <f t="shared" si="24"/>
        <v>1165</v>
      </c>
      <c r="U78" s="17">
        <f t="shared" si="31"/>
        <v>1074</v>
      </c>
      <c r="V78" s="18">
        <v>12</v>
      </c>
      <c r="W78" s="18">
        <v>8</v>
      </c>
      <c r="X78" s="21">
        <v>10</v>
      </c>
      <c r="AD78">
        <f t="shared" si="27"/>
        <v>0</v>
      </c>
      <c r="AE78">
        <f t="shared" si="28"/>
        <v>-25</v>
      </c>
      <c r="AI78">
        <f t="shared" si="29"/>
        <v>0</v>
      </c>
      <c r="AJ78">
        <f t="shared" si="30"/>
        <v>-25</v>
      </c>
    </row>
    <row r="79" spans="2:36" x14ac:dyDescent="0.45">
      <c r="B79" s="28">
        <v>77</v>
      </c>
      <c r="C79" s="10">
        <v>1020</v>
      </c>
      <c r="D79" s="11">
        <v>6</v>
      </c>
      <c r="E79" s="11">
        <v>4</v>
      </c>
      <c r="F79" s="11">
        <v>6</v>
      </c>
      <c r="G79" s="11">
        <v>34</v>
      </c>
      <c r="H79" s="11">
        <f t="shared" si="32"/>
        <v>38</v>
      </c>
      <c r="I79" s="10">
        <v>45</v>
      </c>
      <c r="J79" s="10">
        <f t="shared" si="33"/>
        <v>50</v>
      </c>
      <c r="K79" s="10">
        <v>8</v>
      </c>
      <c r="L79" s="12">
        <v>8</v>
      </c>
      <c r="M79" s="13" t="s">
        <v>2049</v>
      </c>
      <c r="N79" s="13">
        <f t="shared" si="34"/>
        <v>135</v>
      </c>
      <c r="O79" s="13">
        <v>32</v>
      </c>
      <c r="P79" s="14">
        <v>22</v>
      </c>
      <c r="Q79" s="15">
        <f t="shared" si="18"/>
        <v>1034</v>
      </c>
      <c r="R79" s="16">
        <f t="shared" si="35"/>
        <v>1120</v>
      </c>
      <c r="S79" s="17">
        <f t="shared" si="36"/>
        <v>1170</v>
      </c>
      <c r="T79" s="17">
        <f t="shared" si="24"/>
        <v>1175</v>
      </c>
      <c r="U79" s="17">
        <f t="shared" si="31"/>
        <v>1084</v>
      </c>
      <c r="V79" s="18">
        <v>12</v>
      </c>
      <c r="W79" s="18">
        <v>8</v>
      </c>
      <c r="X79" s="21">
        <v>10</v>
      </c>
      <c r="AD79">
        <f t="shared" si="27"/>
        <v>0</v>
      </c>
      <c r="AE79">
        <f t="shared" si="28"/>
        <v>-25</v>
      </c>
      <c r="AI79">
        <f t="shared" si="29"/>
        <v>0</v>
      </c>
      <c r="AJ79">
        <f t="shared" si="30"/>
        <v>-25</v>
      </c>
    </row>
    <row r="80" spans="2:36" x14ac:dyDescent="0.45">
      <c r="B80" s="27">
        <v>78</v>
      </c>
      <c r="C80" s="10">
        <v>1030</v>
      </c>
      <c r="D80" s="11">
        <v>6</v>
      </c>
      <c r="E80" s="11">
        <v>4</v>
      </c>
      <c r="F80" s="11">
        <v>6</v>
      </c>
      <c r="G80" s="11">
        <v>34</v>
      </c>
      <c r="H80" s="11">
        <f t="shared" si="32"/>
        <v>38</v>
      </c>
      <c r="I80" s="10">
        <v>45</v>
      </c>
      <c r="J80" s="10">
        <f t="shared" si="33"/>
        <v>50</v>
      </c>
      <c r="K80" s="10">
        <v>8</v>
      </c>
      <c r="L80" s="12">
        <v>8</v>
      </c>
      <c r="M80" s="13" t="s">
        <v>2049</v>
      </c>
      <c r="N80" s="13">
        <f t="shared" si="34"/>
        <v>135</v>
      </c>
      <c r="O80" s="13">
        <v>32</v>
      </c>
      <c r="P80" s="14">
        <v>22</v>
      </c>
      <c r="Q80" s="15">
        <f t="shared" si="18"/>
        <v>1044</v>
      </c>
      <c r="R80" s="16">
        <f t="shared" si="35"/>
        <v>1130</v>
      </c>
      <c r="S80" s="17">
        <f t="shared" si="36"/>
        <v>1180</v>
      </c>
      <c r="T80" s="17">
        <f t="shared" si="24"/>
        <v>1185</v>
      </c>
      <c r="U80" s="17">
        <f t="shared" si="31"/>
        <v>1094</v>
      </c>
      <c r="V80" s="18">
        <v>12</v>
      </c>
      <c r="W80" s="18">
        <v>8</v>
      </c>
      <c r="X80" s="21">
        <v>10</v>
      </c>
      <c r="AD80">
        <f t="shared" si="27"/>
        <v>0</v>
      </c>
      <c r="AE80">
        <f t="shared" si="28"/>
        <v>-25</v>
      </c>
      <c r="AI80">
        <f t="shared" si="29"/>
        <v>0</v>
      </c>
      <c r="AJ80">
        <f t="shared" si="30"/>
        <v>-25</v>
      </c>
    </row>
    <row r="81" spans="2:38" x14ac:dyDescent="0.45">
      <c r="B81" s="28">
        <v>79</v>
      </c>
      <c r="C81" s="10">
        <v>1040</v>
      </c>
      <c r="D81" s="11">
        <v>6</v>
      </c>
      <c r="E81" s="11">
        <v>4</v>
      </c>
      <c r="F81" s="11">
        <v>6</v>
      </c>
      <c r="G81" s="11">
        <v>34</v>
      </c>
      <c r="H81" s="11">
        <f t="shared" si="32"/>
        <v>38</v>
      </c>
      <c r="I81" s="10">
        <v>45</v>
      </c>
      <c r="J81" s="10">
        <f t="shared" si="33"/>
        <v>50</v>
      </c>
      <c r="K81" s="10">
        <v>8</v>
      </c>
      <c r="L81" s="12">
        <v>8</v>
      </c>
      <c r="M81" s="13" t="s">
        <v>2049</v>
      </c>
      <c r="N81" s="13">
        <f t="shared" si="34"/>
        <v>135</v>
      </c>
      <c r="O81" s="13">
        <v>32</v>
      </c>
      <c r="P81" s="14">
        <v>22</v>
      </c>
      <c r="Q81" s="15">
        <f t="shared" si="18"/>
        <v>1054</v>
      </c>
      <c r="R81" s="16">
        <f t="shared" si="35"/>
        <v>1140</v>
      </c>
      <c r="S81" s="17">
        <f t="shared" si="36"/>
        <v>1190</v>
      </c>
      <c r="T81" s="17">
        <f t="shared" si="24"/>
        <v>1195</v>
      </c>
      <c r="U81" s="17">
        <f t="shared" si="31"/>
        <v>1104</v>
      </c>
      <c r="V81" s="18">
        <v>12</v>
      </c>
      <c r="W81" s="18">
        <v>8</v>
      </c>
      <c r="X81" s="21">
        <v>10</v>
      </c>
      <c r="AD81">
        <f t="shared" si="27"/>
        <v>0</v>
      </c>
      <c r="AE81">
        <f t="shared" si="28"/>
        <v>-25</v>
      </c>
      <c r="AI81">
        <f t="shared" si="29"/>
        <v>0</v>
      </c>
      <c r="AJ81">
        <f t="shared" si="30"/>
        <v>-25</v>
      </c>
    </row>
    <row r="82" spans="2:38" x14ac:dyDescent="0.45">
      <c r="B82" s="27">
        <v>80</v>
      </c>
      <c r="C82" s="10">
        <v>1050</v>
      </c>
      <c r="D82" s="11">
        <v>6</v>
      </c>
      <c r="E82" s="11">
        <v>4</v>
      </c>
      <c r="F82" s="11">
        <v>6</v>
      </c>
      <c r="G82" s="11">
        <v>34</v>
      </c>
      <c r="H82" s="11">
        <f t="shared" si="32"/>
        <v>38</v>
      </c>
      <c r="I82" s="10">
        <v>45</v>
      </c>
      <c r="J82" s="10">
        <f t="shared" si="33"/>
        <v>50</v>
      </c>
      <c r="K82" s="10">
        <v>8</v>
      </c>
      <c r="L82" s="12">
        <v>8</v>
      </c>
      <c r="M82" s="13" t="s">
        <v>2049</v>
      </c>
      <c r="N82" s="13">
        <f t="shared" si="34"/>
        <v>135</v>
      </c>
      <c r="O82" s="13">
        <v>32</v>
      </c>
      <c r="P82" s="14">
        <v>22</v>
      </c>
      <c r="Q82" s="15">
        <f t="shared" si="18"/>
        <v>1064</v>
      </c>
      <c r="R82" s="16">
        <f t="shared" si="35"/>
        <v>1150</v>
      </c>
      <c r="S82" s="17">
        <f t="shared" si="36"/>
        <v>1200</v>
      </c>
      <c r="T82" s="17">
        <f t="shared" si="24"/>
        <v>1205</v>
      </c>
      <c r="U82" s="17">
        <f t="shared" si="31"/>
        <v>1114</v>
      </c>
      <c r="V82" s="18">
        <v>12</v>
      </c>
      <c r="W82" s="18">
        <v>8</v>
      </c>
      <c r="X82" s="21">
        <v>10</v>
      </c>
      <c r="AD82">
        <f t="shared" si="27"/>
        <v>0</v>
      </c>
      <c r="AE82">
        <f t="shared" si="28"/>
        <v>-25</v>
      </c>
      <c r="AI82">
        <f t="shared" si="29"/>
        <v>0</v>
      </c>
      <c r="AJ82">
        <f t="shared" si="30"/>
        <v>-25</v>
      </c>
    </row>
    <row r="83" spans="2:38" s="42" customFormat="1" x14ac:dyDescent="0.45">
      <c r="B83" s="31">
        <v>81</v>
      </c>
      <c r="C83" s="32">
        <v>1060</v>
      </c>
      <c r="D83" s="33">
        <v>6</v>
      </c>
      <c r="E83" s="33">
        <v>4</v>
      </c>
      <c r="F83" s="33">
        <v>6</v>
      </c>
      <c r="G83" s="33">
        <v>34</v>
      </c>
      <c r="H83" s="11">
        <f t="shared" si="32"/>
        <v>38</v>
      </c>
      <c r="I83" s="32">
        <v>45</v>
      </c>
      <c r="J83" s="10">
        <f t="shared" si="33"/>
        <v>50</v>
      </c>
      <c r="K83" s="32">
        <v>8</v>
      </c>
      <c r="L83" s="34">
        <v>8</v>
      </c>
      <c r="M83" s="35" t="s">
        <v>2049</v>
      </c>
      <c r="N83" s="35">
        <f t="shared" si="34"/>
        <v>135</v>
      </c>
      <c r="O83" s="35">
        <v>32</v>
      </c>
      <c r="P83" s="36">
        <v>22</v>
      </c>
      <c r="Q83" s="37">
        <f t="shared" si="18"/>
        <v>1074</v>
      </c>
      <c r="R83" s="38">
        <f t="shared" si="35"/>
        <v>1160</v>
      </c>
      <c r="S83" s="39">
        <f t="shared" si="36"/>
        <v>1210</v>
      </c>
      <c r="T83" s="17">
        <f t="shared" si="24"/>
        <v>1215</v>
      </c>
      <c r="U83" s="39">
        <f t="shared" si="31"/>
        <v>1124</v>
      </c>
      <c r="V83" s="40">
        <v>12</v>
      </c>
      <c r="W83" s="40">
        <v>8</v>
      </c>
      <c r="X83" s="41">
        <v>10</v>
      </c>
      <c r="Y83" s="42">
        <v>150</v>
      </c>
      <c r="Z83" s="42">
        <v>980</v>
      </c>
      <c r="AA83" s="42">
        <v>16</v>
      </c>
      <c r="AB83" s="42">
        <v>920</v>
      </c>
      <c r="AC83" s="42">
        <v>983</v>
      </c>
      <c r="AD83" s="42">
        <f t="shared" si="27"/>
        <v>920</v>
      </c>
      <c r="AE83" s="42">
        <f t="shared" si="28"/>
        <v>958</v>
      </c>
      <c r="AF83" s="42">
        <v>12</v>
      </c>
      <c r="AG83" s="42">
        <v>152</v>
      </c>
      <c r="AH83" s="42">
        <v>891</v>
      </c>
      <c r="AI83" s="42">
        <f t="shared" si="29"/>
        <v>152</v>
      </c>
      <c r="AJ83" s="42">
        <f t="shared" si="30"/>
        <v>866</v>
      </c>
      <c r="AK83" s="42">
        <v>12</v>
      </c>
      <c r="AL83" s="42">
        <v>2</v>
      </c>
    </row>
    <row r="84" spans="2:38" x14ac:dyDescent="0.45">
      <c r="B84" s="27">
        <v>82</v>
      </c>
      <c r="C84" s="10">
        <v>1070</v>
      </c>
      <c r="D84" s="11">
        <v>6</v>
      </c>
      <c r="E84" s="11">
        <v>4</v>
      </c>
      <c r="F84" s="11">
        <v>6</v>
      </c>
      <c r="G84" s="11">
        <v>34</v>
      </c>
      <c r="H84" s="11">
        <f t="shared" si="32"/>
        <v>38</v>
      </c>
      <c r="I84" s="10">
        <v>45</v>
      </c>
      <c r="J84" s="10">
        <f t="shared" si="33"/>
        <v>50</v>
      </c>
      <c r="K84" s="10">
        <v>8</v>
      </c>
      <c r="L84" s="12">
        <v>8</v>
      </c>
      <c r="M84" s="13" t="s">
        <v>2049</v>
      </c>
      <c r="N84" s="13">
        <f t="shared" si="34"/>
        <v>135</v>
      </c>
      <c r="O84" s="13">
        <v>32</v>
      </c>
      <c r="P84" s="14">
        <v>22</v>
      </c>
      <c r="Q84" s="15">
        <f t="shared" si="18"/>
        <v>1084</v>
      </c>
      <c r="R84" s="16">
        <f t="shared" si="35"/>
        <v>1170</v>
      </c>
      <c r="S84" s="17">
        <f t="shared" si="36"/>
        <v>1220</v>
      </c>
      <c r="T84" s="17">
        <f t="shared" si="24"/>
        <v>1225</v>
      </c>
      <c r="U84" s="17">
        <f t="shared" si="31"/>
        <v>1134</v>
      </c>
      <c r="V84" s="18">
        <v>12</v>
      </c>
      <c r="W84" s="18">
        <v>8</v>
      </c>
      <c r="X84" s="21">
        <v>10</v>
      </c>
    </row>
    <row r="85" spans="2:38" x14ac:dyDescent="0.45">
      <c r="B85" s="28">
        <v>83</v>
      </c>
      <c r="C85" s="10">
        <v>1080</v>
      </c>
      <c r="D85" s="11">
        <v>6</v>
      </c>
      <c r="E85" s="11">
        <v>4</v>
      </c>
      <c r="F85" s="11">
        <v>6</v>
      </c>
      <c r="G85" s="11">
        <v>34</v>
      </c>
      <c r="H85" s="11">
        <f t="shared" si="32"/>
        <v>38</v>
      </c>
      <c r="I85" s="10">
        <v>45</v>
      </c>
      <c r="J85" s="10">
        <f t="shared" si="33"/>
        <v>50</v>
      </c>
      <c r="K85" s="10">
        <v>8</v>
      </c>
      <c r="L85" s="12">
        <v>8</v>
      </c>
      <c r="M85" s="13" t="s">
        <v>2049</v>
      </c>
      <c r="N85" s="13">
        <f t="shared" si="34"/>
        <v>135</v>
      </c>
      <c r="O85" s="13">
        <v>32</v>
      </c>
      <c r="P85" s="14">
        <v>22</v>
      </c>
      <c r="Q85" s="15">
        <f t="shared" si="18"/>
        <v>1094</v>
      </c>
      <c r="R85" s="16">
        <f t="shared" si="35"/>
        <v>1180</v>
      </c>
      <c r="S85" s="17">
        <f t="shared" si="36"/>
        <v>1230</v>
      </c>
      <c r="T85" s="17">
        <f t="shared" si="24"/>
        <v>1235</v>
      </c>
      <c r="U85" s="17">
        <f t="shared" si="31"/>
        <v>1144</v>
      </c>
      <c r="V85" s="18">
        <v>12</v>
      </c>
      <c r="W85" s="18">
        <v>8</v>
      </c>
      <c r="X85" s="21">
        <v>10</v>
      </c>
    </row>
    <row r="86" spans="2:38" x14ac:dyDescent="0.45">
      <c r="B86" s="27">
        <v>84</v>
      </c>
      <c r="C86" s="10">
        <v>1090</v>
      </c>
      <c r="D86" s="11">
        <v>6</v>
      </c>
      <c r="E86" s="11">
        <v>4</v>
      </c>
      <c r="F86" s="11">
        <v>6</v>
      </c>
      <c r="G86" s="11">
        <v>34</v>
      </c>
      <c r="H86" s="11">
        <f t="shared" si="32"/>
        <v>38</v>
      </c>
      <c r="I86" s="10">
        <v>45</v>
      </c>
      <c r="J86" s="10">
        <f t="shared" si="33"/>
        <v>50</v>
      </c>
      <c r="K86" s="10">
        <v>8</v>
      </c>
      <c r="L86" s="12">
        <v>8</v>
      </c>
      <c r="M86" s="13" t="s">
        <v>2049</v>
      </c>
      <c r="N86" s="13">
        <f t="shared" si="34"/>
        <v>135</v>
      </c>
      <c r="O86" s="13">
        <v>32</v>
      </c>
      <c r="P86" s="14">
        <v>22</v>
      </c>
      <c r="Q86" s="15">
        <f t="shared" si="18"/>
        <v>1104</v>
      </c>
      <c r="R86" s="16">
        <f t="shared" si="35"/>
        <v>1190</v>
      </c>
      <c r="S86" s="17">
        <f t="shared" si="36"/>
        <v>1240</v>
      </c>
      <c r="T86" s="17">
        <f t="shared" si="24"/>
        <v>1245</v>
      </c>
      <c r="U86" s="17">
        <f t="shared" si="31"/>
        <v>1154</v>
      </c>
      <c r="V86" s="18">
        <v>12</v>
      </c>
      <c r="W86" s="18">
        <v>8</v>
      </c>
      <c r="X86" s="21">
        <v>10</v>
      </c>
    </row>
    <row r="87" spans="2:38" x14ac:dyDescent="0.45">
      <c r="B87" s="28">
        <v>85</v>
      </c>
      <c r="C87" s="10">
        <v>1100</v>
      </c>
      <c r="D87" s="11">
        <v>6</v>
      </c>
      <c r="E87" s="11">
        <v>4</v>
      </c>
      <c r="F87" s="11">
        <v>6</v>
      </c>
      <c r="G87" s="11">
        <v>34</v>
      </c>
      <c r="H87" s="11">
        <f t="shared" si="32"/>
        <v>38</v>
      </c>
      <c r="I87" s="10">
        <v>45</v>
      </c>
      <c r="J87" s="10">
        <f t="shared" si="33"/>
        <v>50</v>
      </c>
      <c r="K87" s="10">
        <v>8</v>
      </c>
      <c r="L87" s="12">
        <v>8</v>
      </c>
      <c r="M87" s="13" t="s">
        <v>2049</v>
      </c>
      <c r="N87" s="13">
        <f t="shared" si="34"/>
        <v>135</v>
      </c>
      <c r="O87" s="13">
        <v>32</v>
      </c>
      <c r="P87" s="14">
        <v>22</v>
      </c>
      <c r="Q87" s="15">
        <f t="shared" si="18"/>
        <v>1114</v>
      </c>
      <c r="R87" s="16">
        <f t="shared" si="35"/>
        <v>1200</v>
      </c>
      <c r="S87" s="17">
        <f t="shared" si="36"/>
        <v>1250</v>
      </c>
      <c r="T87" s="17">
        <f t="shared" si="24"/>
        <v>1255</v>
      </c>
      <c r="U87" s="17">
        <f t="shared" si="31"/>
        <v>1164</v>
      </c>
      <c r="V87" s="18">
        <v>12</v>
      </c>
      <c r="W87" s="18">
        <v>8</v>
      </c>
      <c r="X87" s="21">
        <v>10</v>
      </c>
    </row>
    <row r="88" spans="2:38" x14ac:dyDescent="0.45">
      <c r="B88" s="27">
        <v>86</v>
      </c>
      <c r="C88" s="10">
        <v>1110</v>
      </c>
      <c r="D88" s="11">
        <v>6</v>
      </c>
      <c r="E88" s="11">
        <v>4</v>
      </c>
      <c r="F88" s="11">
        <v>6</v>
      </c>
      <c r="G88" s="11">
        <v>36</v>
      </c>
      <c r="H88" s="11">
        <f t="shared" si="32"/>
        <v>40</v>
      </c>
      <c r="I88" s="10">
        <v>50</v>
      </c>
      <c r="J88" s="10">
        <f t="shared" si="33"/>
        <v>55</v>
      </c>
      <c r="K88" s="10">
        <v>8</v>
      </c>
      <c r="L88" s="12">
        <v>8</v>
      </c>
      <c r="M88" s="13" t="s">
        <v>2049</v>
      </c>
      <c r="N88" s="13">
        <f t="shared" ref="N88:N131" si="37">G88+I88+15+P88+17</f>
        <v>140</v>
      </c>
      <c r="O88" s="13">
        <v>32</v>
      </c>
      <c r="P88" s="14">
        <v>22</v>
      </c>
      <c r="Q88" s="15">
        <f t="shared" si="18"/>
        <v>1124</v>
      </c>
      <c r="R88" s="16">
        <v>1210</v>
      </c>
      <c r="S88" s="17">
        <f t="shared" si="36"/>
        <v>1260</v>
      </c>
      <c r="T88" s="17">
        <f t="shared" si="24"/>
        <v>1265</v>
      </c>
      <c r="U88" s="17">
        <f t="shared" si="31"/>
        <v>1174</v>
      </c>
      <c r="V88" s="18">
        <v>12</v>
      </c>
      <c r="W88" s="18">
        <v>8</v>
      </c>
      <c r="X88" s="21">
        <v>10</v>
      </c>
    </row>
    <row r="89" spans="2:38" x14ac:dyDescent="0.45">
      <c r="B89" s="28">
        <v>87</v>
      </c>
      <c r="C89" s="10">
        <v>1120</v>
      </c>
      <c r="D89" s="11">
        <v>6</v>
      </c>
      <c r="E89" s="11">
        <v>4</v>
      </c>
      <c r="F89" s="11">
        <v>6</v>
      </c>
      <c r="G89" s="11">
        <v>36</v>
      </c>
      <c r="H89" s="11">
        <f t="shared" si="32"/>
        <v>40</v>
      </c>
      <c r="I89" s="10">
        <v>50</v>
      </c>
      <c r="J89" s="10">
        <f t="shared" si="33"/>
        <v>55</v>
      </c>
      <c r="K89" s="10">
        <v>8</v>
      </c>
      <c r="L89" s="12">
        <v>8</v>
      </c>
      <c r="M89" s="13" t="s">
        <v>2049</v>
      </c>
      <c r="N89" s="13">
        <f t="shared" si="37"/>
        <v>140</v>
      </c>
      <c r="O89" s="13">
        <v>32</v>
      </c>
      <c r="P89" s="14">
        <v>22</v>
      </c>
      <c r="Q89" s="15">
        <f t="shared" si="18"/>
        <v>1134</v>
      </c>
      <c r="R89" s="16">
        <v>1220</v>
      </c>
      <c r="S89" s="17">
        <f t="shared" si="36"/>
        <v>1270</v>
      </c>
      <c r="T89" s="17">
        <f t="shared" si="24"/>
        <v>1275</v>
      </c>
      <c r="U89" s="17">
        <f t="shared" si="31"/>
        <v>1184</v>
      </c>
      <c r="V89" s="18">
        <v>12</v>
      </c>
      <c r="W89" s="18">
        <v>8</v>
      </c>
      <c r="X89" s="21">
        <v>10</v>
      </c>
    </row>
    <row r="90" spans="2:38" x14ac:dyDescent="0.45">
      <c r="B90" s="27">
        <v>88</v>
      </c>
      <c r="C90" s="10">
        <v>1130</v>
      </c>
      <c r="D90" s="11">
        <v>6</v>
      </c>
      <c r="E90" s="11">
        <v>4</v>
      </c>
      <c r="F90" s="11">
        <v>6</v>
      </c>
      <c r="G90" s="11">
        <v>36</v>
      </c>
      <c r="H90" s="11">
        <f t="shared" si="32"/>
        <v>40</v>
      </c>
      <c r="I90" s="10">
        <v>50</v>
      </c>
      <c r="J90" s="10">
        <f t="shared" si="33"/>
        <v>55</v>
      </c>
      <c r="K90" s="10">
        <v>8</v>
      </c>
      <c r="L90" s="12">
        <v>8</v>
      </c>
      <c r="M90" s="13" t="s">
        <v>2049</v>
      </c>
      <c r="N90" s="13">
        <f t="shared" si="37"/>
        <v>140</v>
      </c>
      <c r="O90" s="13">
        <v>32</v>
      </c>
      <c r="P90" s="14">
        <v>22</v>
      </c>
      <c r="Q90" s="15">
        <f t="shared" si="18"/>
        <v>1144</v>
      </c>
      <c r="R90" s="16">
        <v>1230</v>
      </c>
      <c r="S90" s="17">
        <f t="shared" si="36"/>
        <v>1280</v>
      </c>
      <c r="T90" s="17">
        <f t="shared" si="24"/>
        <v>1285</v>
      </c>
      <c r="U90" s="17">
        <f t="shared" si="31"/>
        <v>1194</v>
      </c>
      <c r="V90" s="18">
        <v>12</v>
      </c>
      <c r="W90" s="18">
        <v>8</v>
      </c>
      <c r="X90" s="21">
        <v>10</v>
      </c>
    </row>
    <row r="91" spans="2:38" x14ac:dyDescent="0.45">
      <c r="B91" s="28">
        <v>89</v>
      </c>
      <c r="C91" s="10">
        <v>1140</v>
      </c>
      <c r="D91" s="11">
        <v>6</v>
      </c>
      <c r="E91" s="11">
        <v>4</v>
      </c>
      <c r="F91" s="11">
        <v>6</v>
      </c>
      <c r="G91" s="11">
        <v>36</v>
      </c>
      <c r="H91" s="11">
        <f t="shared" si="32"/>
        <v>40</v>
      </c>
      <c r="I91" s="10">
        <v>50</v>
      </c>
      <c r="J91" s="10">
        <f t="shared" si="33"/>
        <v>55</v>
      </c>
      <c r="K91" s="10">
        <v>8</v>
      </c>
      <c r="L91" s="12">
        <v>8</v>
      </c>
      <c r="M91" s="13" t="s">
        <v>2049</v>
      </c>
      <c r="N91" s="13">
        <f t="shared" si="37"/>
        <v>140</v>
      </c>
      <c r="O91" s="13">
        <v>32</v>
      </c>
      <c r="P91" s="14">
        <v>22</v>
      </c>
      <c r="Q91" s="15">
        <f t="shared" si="18"/>
        <v>1154</v>
      </c>
      <c r="R91" s="16">
        <v>1240</v>
      </c>
      <c r="S91" s="17">
        <f t="shared" si="36"/>
        <v>1290</v>
      </c>
      <c r="T91" s="17">
        <f t="shared" si="24"/>
        <v>1295</v>
      </c>
      <c r="U91" s="17">
        <f t="shared" si="31"/>
        <v>1204</v>
      </c>
      <c r="V91" s="18">
        <v>12</v>
      </c>
      <c r="W91" s="18">
        <v>8</v>
      </c>
      <c r="X91" s="21">
        <v>10</v>
      </c>
    </row>
    <row r="92" spans="2:38" x14ac:dyDescent="0.45">
      <c r="B92" s="27">
        <v>90</v>
      </c>
      <c r="C92" s="10">
        <v>1150</v>
      </c>
      <c r="D92" s="11">
        <v>6</v>
      </c>
      <c r="E92" s="11">
        <v>4</v>
      </c>
      <c r="F92" s="11">
        <v>6</v>
      </c>
      <c r="G92" s="11">
        <v>36</v>
      </c>
      <c r="H92" s="11">
        <f t="shared" si="32"/>
        <v>40</v>
      </c>
      <c r="I92" s="10">
        <v>50</v>
      </c>
      <c r="J92" s="10">
        <f t="shared" si="33"/>
        <v>55</v>
      </c>
      <c r="K92" s="10">
        <v>8</v>
      </c>
      <c r="L92" s="12">
        <v>8</v>
      </c>
      <c r="M92" s="13" t="s">
        <v>2049</v>
      </c>
      <c r="N92" s="13">
        <f t="shared" si="37"/>
        <v>140</v>
      </c>
      <c r="O92" s="13">
        <v>36</v>
      </c>
      <c r="P92" s="14">
        <v>22</v>
      </c>
      <c r="Q92" s="15">
        <f t="shared" si="18"/>
        <v>1164</v>
      </c>
      <c r="R92" s="16">
        <v>1250</v>
      </c>
      <c r="S92" s="17">
        <f t="shared" si="36"/>
        <v>1300</v>
      </c>
      <c r="T92" s="17">
        <f t="shared" si="24"/>
        <v>1305</v>
      </c>
      <c r="U92" s="17">
        <f t="shared" si="31"/>
        <v>1214</v>
      </c>
      <c r="V92" s="18">
        <v>12</v>
      </c>
      <c r="W92" s="18">
        <v>8</v>
      </c>
      <c r="X92" s="21">
        <v>10</v>
      </c>
    </row>
    <row r="93" spans="2:38" x14ac:dyDescent="0.45">
      <c r="B93" s="28">
        <v>91</v>
      </c>
      <c r="C93" s="10">
        <v>1160</v>
      </c>
      <c r="D93" s="11">
        <v>6</v>
      </c>
      <c r="E93" s="11">
        <v>4</v>
      </c>
      <c r="F93" s="11">
        <v>6</v>
      </c>
      <c r="G93" s="11">
        <v>36</v>
      </c>
      <c r="H93" s="11">
        <f t="shared" si="32"/>
        <v>40</v>
      </c>
      <c r="I93" s="10">
        <v>50</v>
      </c>
      <c r="J93" s="10">
        <f t="shared" si="33"/>
        <v>55</v>
      </c>
      <c r="K93" s="10">
        <v>8</v>
      </c>
      <c r="L93" s="12">
        <v>8</v>
      </c>
      <c r="M93" s="13" t="s">
        <v>2049</v>
      </c>
      <c r="N93" s="13">
        <f t="shared" si="37"/>
        <v>140</v>
      </c>
      <c r="O93" s="13">
        <v>36</v>
      </c>
      <c r="P93" s="14">
        <v>22</v>
      </c>
      <c r="Q93" s="15">
        <f t="shared" si="18"/>
        <v>1174</v>
      </c>
      <c r="R93" s="16">
        <v>1260</v>
      </c>
      <c r="S93" s="17">
        <f t="shared" si="36"/>
        <v>1310</v>
      </c>
      <c r="T93" s="17">
        <f t="shared" si="24"/>
        <v>1315</v>
      </c>
      <c r="U93" s="17">
        <f t="shared" si="31"/>
        <v>1224</v>
      </c>
      <c r="V93" s="18">
        <v>12</v>
      </c>
      <c r="W93" s="18">
        <v>8</v>
      </c>
      <c r="X93" s="21">
        <v>10</v>
      </c>
    </row>
    <row r="94" spans="2:38" x14ac:dyDescent="0.45">
      <c r="B94" s="27">
        <v>92</v>
      </c>
      <c r="C94" s="10">
        <v>1170</v>
      </c>
      <c r="D94" s="11">
        <v>6</v>
      </c>
      <c r="E94" s="11">
        <v>4</v>
      </c>
      <c r="F94" s="11">
        <v>6</v>
      </c>
      <c r="G94" s="11">
        <v>36</v>
      </c>
      <c r="H94" s="11">
        <f t="shared" si="32"/>
        <v>40</v>
      </c>
      <c r="I94" s="10">
        <v>50</v>
      </c>
      <c r="J94" s="10">
        <f t="shared" si="33"/>
        <v>55</v>
      </c>
      <c r="K94" s="10">
        <v>8</v>
      </c>
      <c r="L94" s="12">
        <v>8</v>
      </c>
      <c r="M94" s="13" t="s">
        <v>2049</v>
      </c>
      <c r="N94" s="13">
        <f t="shared" si="37"/>
        <v>140</v>
      </c>
      <c r="O94" s="13">
        <v>36</v>
      </c>
      <c r="P94" s="14">
        <v>22</v>
      </c>
      <c r="Q94" s="15">
        <f t="shared" si="18"/>
        <v>1184</v>
      </c>
      <c r="R94" s="16">
        <v>1270</v>
      </c>
      <c r="S94" s="17">
        <f t="shared" si="36"/>
        <v>1320</v>
      </c>
      <c r="T94" s="17">
        <f t="shared" si="24"/>
        <v>1325</v>
      </c>
      <c r="U94" s="17">
        <f t="shared" si="31"/>
        <v>1234</v>
      </c>
      <c r="V94" s="18">
        <v>12</v>
      </c>
      <c r="W94" s="18">
        <v>8</v>
      </c>
      <c r="X94" s="21">
        <v>10</v>
      </c>
    </row>
    <row r="95" spans="2:38" x14ac:dyDescent="0.45">
      <c r="B95" s="28">
        <v>93</v>
      </c>
      <c r="C95" s="10">
        <v>1180</v>
      </c>
      <c r="D95" s="11">
        <v>6</v>
      </c>
      <c r="E95" s="11">
        <v>4</v>
      </c>
      <c r="F95" s="11">
        <v>6</v>
      </c>
      <c r="G95" s="11">
        <v>36</v>
      </c>
      <c r="H95" s="11">
        <f t="shared" si="32"/>
        <v>40</v>
      </c>
      <c r="I95" s="10">
        <v>50</v>
      </c>
      <c r="J95" s="10">
        <f t="shared" si="33"/>
        <v>55</v>
      </c>
      <c r="K95" s="10">
        <v>8</v>
      </c>
      <c r="L95" s="12">
        <v>8</v>
      </c>
      <c r="M95" s="13" t="s">
        <v>2049</v>
      </c>
      <c r="N95" s="13">
        <f t="shared" si="37"/>
        <v>140</v>
      </c>
      <c r="O95" s="13">
        <v>36</v>
      </c>
      <c r="P95" s="14">
        <v>22</v>
      </c>
      <c r="Q95" s="15">
        <f t="shared" si="18"/>
        <v>1194</v>
      </c>
      <c r="R95" s="16">
        <v>1280</v>
      </c>
      <c r="S95" s="17">
        <f t="shared" si="36"/>
        <v>1330</v>
      </c>
      <c r="T95" s="17">
        <f t="shared" si="24"/>
        <v>1335</v>
      </c>
      <c r="U95" s="17">
        <f t="shared" si="31"/>
        <v>1244</v>
      </c>
      <c r="V95" s="18">
        <v>12</v>
      </c>
      <c r="W95" s="18">
        <v>8</v>
      </c>
      <c r="X95" s="21">
        <v>10</v>
      </c>
    </row>
    <row r="96" spans="2:38" x14ac:dyDescent="0.45">
      <c r="B96" s="27">
        <v>94</v>
      </c>
      <c r="C96" s="10">
        <v>1190</v>
      </c>
      <c r="D96" s="11">
        <v>6</v>
      </c>
      <c r="E96" s="11">
        <v>4</v>
      </c>
      <c r="F96" s="11">
        <v>6</v>
      </c>
      <c r="G96" s="11">
        <v>36</v>
      </c>
      <c r="H96" s="11">
        <f t="shared" si="32"/>
        <v>40</v>
      </c>
      <c r="I96" s="10">
        <v>50</v>
      </c>
      <c r="J96" s="10">
        <f t="shared" si="33"/>
        <v>55</v>
      </c>
      <c r="K96" s="10">
        <v>8</v>
      </c>
      <c r="L96" s="12">
        <v>8</v>
      </c>
      <c r="M96" s="13" t="s">
        <v>2049</v>
      </c>
      <c r="N96" s="13">
        <f t="shared" si="37"/>
        <v>140</v>
      </c>
      <c r="O96" s="13">
        <v>36</v>
      </c>
      <c r="P96" s="14">
        <v>22</v>
      </c>
      <c r="Q96" s="15">
        <f t="shared" si="18"/>
        <v>1204</v>
      </c>
      <c r="R96" s="16">
        <v>1290</v>
      </c>
      <c r="S96" s="17">
        <f t="shared" si="36"/>
        <v>1340</v>
      </c>
      <c r="T96" s="17">
        <f t="shared" si="24"/>
        <v>1345</v>
      </c>
      <c r="U96" s="17">
        <f t="shared" si="31"/>
        <v>1254</v>
      </c>
      <c r="V96" s="18">
        <v>12</v>
      </c>
      <c r="W96" s="18">
        <v>8</v>
      </c>
      <c r="X96" s="21">
        <v>10</v>
      </c>
    </row>
    <row r="97" spans="2:24" x14ac:dyDescent="0.45">
      <c r="B97" s="28">
        <v>95</v>
      </c>
      <c r="C97" s="10">
        <v>1200</v>
      </c>
      <c r="D97" s="11">
        <v>6</v>
      </c>
      <c r="E97" s="11">
        <v>4</v>
      </c>
      <c r="F97" s="11">
        <v>6</v>
      </c>
      <c r="G97" s="11">
        <v>36</v>
      </c>
      <c r="H97" s="11">
        <f t="shared" si="32"/>
        <v>40</v>
      </c>
      <c r="I97" s="10">
        <v>50</v>
      </c>
      <c r="J97" s="10">
        <f t="shared" si="33"/>
        <v>55</v>
      </c>
      <c r="K97" s="10">
        <v>8</v>
      </c>
      <c r="L97" s="12">
        <v>8</v>
      </c>
      <c r="M97" s="13" t="s">
        <v>2049</v>
      </c>
      <c r="N97" s="13">
        <f t="shared" si="37"/>
        <v>140</v>
      </c>
      <c r="O97" s="13">
        <v>36</v>
      </c>
      <c r="P97" s="14">
        <v>22</v>
      </c>
      <c r="Q97" s="15">
        <f t="shared" si="18"/>
        <v>1214</v>
      </c>
      <c r="R97" s="16">
        <v>1300</v>
      </c>
      <c r="S97" s="17">
        <f t="shared" si="36"/>
        <v>1350</v>
      </c>
      <c r="T97" s="17">
        <f t="shared" si="24"/>
        <v>1355</v>
      </c>
      <c r="U97" s="17">
        <f t="shared" si="31"/>
        <v>1264</v>
      </c>
      <c r="V97" s="18">
        <v>12</v>
      </c>
      <c r="W97" s="18">
        <v>8</v>
      </c>
      <c r="X97" s="21">
        <v>10</v>
      </c>
    </row>
    <row r="98" spans="2:24" x14ac:dyDescent="0.45">
      <c r="B98" s="27">
        <v>96</v>
      </c>
      <c r="C98" s="10">
        <v>1210</v>
      </c>
      <c r="D98" s="11">
        <v>6</v>
      </c>
      <c r="E98" s="11">
        <v>4</v>
      </c>
      <c r="F98" s="11">
        <v>6</v>
      </c>
      <c r="G98" s="11">
        <v>38</v>
      </c>
      <c r="H98" s="11">
        <f t="shared" si="32"/>
        <v>42</v>
      </c>
      <c r="I98" s="10">
        <v>50</v>
      </c>
      <c r="J98" s="10">
        <f t="shared" si="33"/>
        <v>55</v>
      </c>
      <c r="K98" s="10">
        <v>8</v>
      </c>
      <c r="L98" s="12">
        <v>8</v>
      </c>
      <c r="M98" s="13" t="s">
        <v>2049</v>
      </c>
      <c r="N98" s="13">
        <f t="shared" si="37"/>
        <v>142</v>
      </c>
      <c r="O98" s="13">
        <v>36</v>
      </c>
      <c r="P98" s="14">
        <v>22</v>
      </c>
      <c r="Q98" s="15">
        <f t="shared" si="18"/>
        <v>1224</v>
      </c>
      <c r="R98" s="16">
        <v>1310</v>
      </c>
      <c r="S98" s="17">
        <f t="shared" si="36"/>
        <v>1360</v>
      </c>
      <c r="T98" s="17">
        <f t="shared" si="24"/>
        <v>1365</v>
      </c>
      <c r="U98" s="17">
        <f t="shared" si="31"/>
        <v>1274</v>
      </c>
      <c r="V98" s="18">
        <v>12</v>
      </c>
      <c r="W98" s="18">
        <v>8</v>
      </c>
      <c r="X98" s="21">
        <v>10</v>
      </c>
    </row>
    <row r="99" spans="2:24" x14ac:dyDescent="0.45">
      <c r="B99" s="28">
        <v>97</v>
      </c>
      <c r="C99" s="10">
        <v>1220</v>
      </c>
      <c r="D99" s="11">
        <v>6</v>
      </c>
      <c r="E99" s="11">
        <v>4</v>
      </c>
      <c r="F99" s="11">
        <v>6</v>
      </c>
      <c r="G99" s="11">
        <v>38</v>
      </c>
      <c r="H99" s="11">
        <f t="shared" si="32"/>
        <v>42</v>
      </c>
      <c r="I99" s="10">
        <v>50</v>
      </c>
      <c r="J99" s="10">
        <f t="shared" si="33"/>
        <v>55</v>
      </c>
      <c r="K99" s="10">
        <v>8</v>
      </c>
      <c r="L99" s="12">
        <v>8</v>
      </c>
      <c r="M99" s="13" t="s">
        <v>2049</v>
      </c>
      <c r="N99" s="13">
        <f t="shared" si="37"/>
        <v>142</v>
      </c>
      <c r="O99" s="13">
        <v>36</v>
      </c>
      <c r="P99" s="14">
        <v>22</v>
      </c>
      <c r="Q99" s="15">
        <f t="shared" si="18"/>
        <v>1234</v>
      </c>
      <c r="R99" s="16">
        <v>1320</v>
      </c>
      <c r="S99" s="17">
        <f t="shared" si="36"/>
        <v>1370</v>
      </c>
      <c r="T99" s="17">
        <f t="shared" si="24"/>
        <v>1375</v>
      </c>
      <c r="U99" s="17">
        <f t="shared" si="31"/>
        <v>1284</v>
      </c>
      <c r="V99" s="18">
        <v>12</v>
      </c>
      <c r="W99" s="18">
        <v>8</v>
      </c>
      <c r="X99" s="21">
        <v>10</v>
      </c>
    </row>
    <row r="100" spans="2:24" x14ac:dyDescent="0.45">
      <c r="B100" s="27">
        <v>98</v>
      </c>
      <c r="C100" s="10">
        <v>1230</v>
      </c>
      <c r="D100" s="11">
        <v>6</v>
      </c>
      <c r="E100" s="11">
        <v>4</v>
      </c>
      <c r="F100" s="11">
        <v>6</v>
      </c>
      <c r="G100" s="11">
        <v>38</v>
      </c>
      <c r="H100" s="11">
        <f t="shared" si="32"/>
        <v>42</v>
      </c>
      <c r="I100" s="10">
        <v>50</v>
      </c>
      <c r="J100" s="10">
        <f t="shared" si="33"/>
        <v>55</v>
      </c>
      <c r="K100" s="10">
        <v>8</v>
      </c>
      <c r="L100" s="12">
        <v>8</v>
      </c>
      <c r="M100" s="13" t="s">
        <v>2049</v>
      </c>
      <c r="N100" s="13">
        <f t="shared" si="37"/>
        <v>142</v>
      </c>
      <c r="O100" s="13">
        <v>36</v>
      </c>
      <c r="P100" s="14">
        <v>22</v>
      </c>
      <c r="Q100" s="15">
        <f t="shared" si="18"/>
        <v>1244</v>
      </c>
      <c r="R100" s="16">
        <v>1330</v>
      </c>
      <c r="S100" s="17">
        <f t="shared" si="36"/>
        <v>1380</v>
      </c>
      <c r="T100" s="17">
        <f t="shared" si="24"/>
        <v>1385</v>
      </c>
      <c r="U100" s="17">
        <f t="shared" si="31"/>
        <v>1294</v>
      </c>
      <c r="V100" s="18">
        <v>12</v>
      </c>
      <c r="W100" s="18">
        <v>8</v>
      </c>
      <c r="X100" s="21">
        <v>10</v>
      </c>
    </row>
    <row r="101" spans="2:24" x14ac:dyDescent="0.45">
      <c r="B101" s="28">
        <v>99</v>
      </c>
      <c r="C101" s="10">
        <v>1240</v>
      </c>
      <c r="D101" s="11">
        <v>6</v>
      </c>
      <c r="E101" s="11">
        <v>4</v>
      </c>
      <c r="F101" s="11">
        <v>6</v>
      </c>
      <c r="G101" s="11">
        <v>38</v>
      </c>
      <c r="H101" s="11">
        <f t="shared" si="32"/>
        <v>42</v>
      </c>
      <c r="I101" s="10">
        <v>50</v>
      </c>
      <c r="J101" s="10">
        <f t="shared" si="33"/>
        <v>55</v>
      </c>
      <c r="K101" s="10">
        <v>8</v>
      </c>
      <c r="L101" s="12">
        <v>8</v>
      </c>
      <c r="M101" s="13" t="s">
        <v>2049</v>
      </c>
      <c r="N101" s="13">
        <f t="shared" si="37"/>
        <v>142</v>
      </c>
      <c r="O101" s="13">
        <v>36</v>
      </c>
      <c r="P101" s="14">
        <v>22</v>
      </c>
      <c r="Q101" s="15">
        <f t="shared" si="18"/>
        <v>1254</v>
      </c>
      <c r="R101" s="16">
        <v>1340</v>
      </c>
      <c r="S101" s="17">
        <f t="shared" si="36"/>
        <v>1390</v>
      </c>
      <c r="T101" s="17">
        <f t="shared" si="24"/>
        <v>1395</v>
      </c>
      <c r="U101" s="17">
        <f t="shared" si="31"/>
        <v>1304</v>
      </c>
      <c r="V101" s="18">
        <v>12</v>
      </c>
      <c r="W101" s="18">
        <v>8</v>
      </c>
      <c r="X101" s="21">
        <v>10</v>
      </c>
    </row>
    <row r="102" spans="2:24" x14ac:dyDescent="0.45">
      <c r="B102" s="27">
        <v>100</v>
      </c>
      <c r="C102" s="10">
        <v>1250</v>
      </c>
      <c r="D102" s="11">
        <v>6</v>
      </c>
      <c r="E102" s="11">
        <v>4</v>
      </c>
      <c r="F102" s="11">
        <v>6</v>
      </c>
      <c r="G102" s="11">
        <v>38</v>
      </c>
      <c r="H102" s="11">
        <f t="shared" si="32"/>
        <v>42</v>
      </c>
      <c r="I102" s="10">
        <v>50</v>
      </c>
      <c r="J102" s="10">
        <f t="shared" si="33"/>
        <v>55</v>
      </c>
      <c r="K102" s="10">
        <v>8</v>
      </c>
      <c r="L102" s="12">
        <v>8</v>
      </c>
      <c r="M102" s="13" t="s">
        <v>2049</v>
      </c>
      <c r="N102" s="13">
        <f t="shared" si="37"/>
        <v>142</v>
      </c>
      <c r="O102" s="13">
        <v>36</v>
      </c>
      <c r="P102" s="14">
        <v>22</v>
      </c>
      <c r="Q102" s="15">
        <f t="shared" si="18"/>
        <v>1264</v>
      </c>
      <c r="R102" s="16">
        <v>1350</v>
      </c>
      <c r="S102" s="17">
        <f t="shared" si="36"/>
        <v>1400</v>
      </c>
      <c r="T102" s="17">
        <f t="shared" si="24"/>
        <v>1405</v>
      </c>
      <c r="U102" s="17">
        <f t="shared" si="31"/>
        <v>1314</v>
      </c>
      <c r="V102" s="18">
        <v>12</v>
      </c>
      <c r="W102" s="18">
        <v>10</v>
      </c>
      <c r="X102" s="21">
        <v>10</v>
      </c>
    </row>
    <row r="103" spans="2:24" x14ac:dyDescent="0.45">
      <c r="B103" s="28">
        <v>101</v>
      </c>
      <c r="C103" s="10">
        <v>1260</v>
      </c>
      <c r="D103" s="11">
        <v>6</v>
      </c>
      <c r="E103" s="11">
        <v>4</v>
      </c>
      <c r="F103" s="11">
        <v>6</v>
      </c>
      <c r="G103" s="11">
        <v>38</v>
      </c>
      <c r="H103" s="11">
        <f t="shared" si="32"/>
        <v>42</v>
      </c>
      <c r="I103" s="10">
        <v>50</v>
      </c>
      <c r="J103" s="10">
        <f t="shared" si="33"/>
        <v>55</v>
      </c>
      <c r="K103" s="10">
        <v>8</v>
      </c>
      <c r="L103" s="12">
        <v>8</v>
      </c>
      <c r="M103" s="13" t="s">
        <v>2049</v>
      </c>
      <c r="N103" s="13">
        <f t="shared" si="37"/>
        <v>142</v>
      </c>
      <c r="O103" s="13">
        <v>36</v>
      </c>
      <c r="P103" s="14">
        <v>22</v>
      </c>
      <c r="Q103" s="15">
        <f t="shared" si="18"/>
        <v>1274</v>
      </c>
      <c r="R103" s="16">
        <v>1360</v>
      </c>
      <c r="S103" s="17">
        <f t="shared" si="36"/>
        <v>1410</v>
      </c>
      <c r="T103" s="17">
        <f t="shared" si="24"/>
        <v>1415</v>
      </c>
      <c r="U103" s="17">
        <f t="shared" si="31"/>
        <v>1324</v>
      </c>
      <c r="V103" s="18">
        <v>14</v>
      </c>
      <c r="W103" s="18">
        <v>10</v>
      </c>
      <c r="X103" s="21">
        <v>10</v>
      </c>
    </row>
    <row r="104" spans="2:24" x14ac:dyDescent="0.45">
      <c r="B104" s="27">
        <v>102</v>
      </c>
      <c r="C104" s="10">
        <v>1270</v>
      </c>
      <c r="D104" s="11">
        <v>6</v>
      </c>
      <c r="E104" s="11">
        <v>4</v>
      </c>
      <c r="F104" s="11">
        <v>6</v>
      </c>
      <c r="G104" s="11">
        <v>38</v>
      </c>
      <c r="H104" s="11">
        <f t="shared" si="32"/>
        <v>42</v>
      </c>
      <c r="I104" s="10">
        <v>50</v>
      </c>
      <c r="J104" s="10">
        <f t="shared" si="33"/>
        <v>55</v>
      </c>
      <c r="K104" s="10">
        <v>8</v>
      </c>
      <c r="L104" s="12">
        <v>8</v>
      </c>
      <c r="M104" s="13" t="s">
        <v>2049</v>
      </c>
      <c r="N104" s="13">
        <f t="shared" si="37"/>
        <v>142</v>
      </c>
      <c r="O104" s="13">
        <v>36</v>
      </c>
      <c r="P104" s="14">
        <v>22</v>
      </c>
      <c r="Q104" s="15">
        <f t="shared" si="18"/>
        <v>1284</v>
      </c>
      <c r="R104" s="16">
        <v>1370</v>
      </c>
      <c r="S104" s="17">
        <f t="shared" si="36"/>
        <v>1420</v>
      </c>
      <c r="T104" s="17">
        <f t="shared" si="24"/>
        <v>1425</v>
      </c>
      <c r="U104" s="17">
        <f t="shared" si="31"/>
        <v>1334</v>
      </c>
      <c r="V104" s="18">
        <v>14</v>
      </c>
      <c r="W104" s="18">
        <v>10</v>
      </c>
      <c r="X104" s="21">
        <v>10</v>
      </c>
    </row>
    <row r="105" spans="2:24" x14ac:dyDescent="0.45">
      <c r="B105" s="28">
        <v>103</v>
      </c>
      <c r="C105" s="10">
        <v>1280</v>
      </c>
      <c r="D105" s="11">
        <v>6</v>
      </c>
      <c r="E105" s="11">
        <v>4</v>
      </c>
      <c r="F105" s="11">
        <v>6</v>
      </c>
      <c r="G105" s="11">
        <v>38</v>
      </c>
      <c r="H105" s="11">
        <f t="shared" si="32"/>
        <v>42</v>
      </c>
      <c r="I105" s="10">
        <v>50</v>
      </c>
      <c r="J105" s="10">
        <f t="shared" si="33"/>
        <v>55</v>
      </c>
      <c r="K105" s="10">
        <v>8</v>
      </c>
      <c r="L105" s="12">
        <v>8</v>
      </c>
      <c r="M105" s="13" t="s">
        <v>2049</v>
      </c>
      <c r="N105" s="13">
        <f t="shared" si="37"/>
        <v>142</v>
      </c>
      <c r="O105" s="13">
        <v>36</v>
      </c>
      <c r="P105" s="14">
        <v>22</v>
      </c>
      <c r="Q105" s="15">
        <f t="shared" si="18"/>
        <v>1294</v>
      </c>
      <c r="R105" s="16">
        <v>1380</v>
      </c>
      <c r="S105" s="17">
        <f t="shared" si="36"/>
        <v>1430</v>
      </c>
      <c r="T105" s="17">
        <f t="shared" si="24"/>
        <v>1435</v>
      </c>
      <c r="U105" s="17">
        <f t="shared" si="31"/>
        <v>1344</v>
      </c>
      <c r="V105" s="18">
        <v>14</v>
      </c>
      <c r="W105" s="18">
        <v>10</v>
      </c>
      <c r="X105" s="21">
        <v>10</v>
      </c>
    </row>
    <row r="106" spans="2:24" x14ac:dyDescent="0.45">
      <c r="B106" s="27">
        <v>104</v>
      </c>
      <c r="C106" s="10">
        <v>1290</v>
      </c>
      <c r="D106" s="11">
        <v>6</v>
      </c>
      <c r="E106" s="11">
        <v>4</v>
      </c>
      <c r="F106" s="11">
        <v>6</v>
      </c>
      <c r="G106" s="11">
        <v>38</v>
      </c>
      <c r="H106" s="11">
        <f t="shared" si="32"/>
        <v>42</v>
      </c>
      <c r="I106" s="10">
        <v>50</v>
      </c>
      <c r="J106" s="10">
        <f t="shared" si="33"/>
        <v>55</v>
      </c>
      <c r="K106" s="10">
        <v>8</v>
      </c>
      <c r="L106" s="12">
        <v>8</v>
      </c>
      <c r="M106" s="13" t="s">
        <v>2049</v>
      </c>
      <c r="N106" s="13">
        <f t="shared" si="37"/>
        <v>142</v>
      </c>
      <c r="O106" s="13">
        <v>36</v>
      </c>
      <c r="P106" s="14">
        <v>22</v>
      </c>
      <c r="Q106" s="15">
        <f t="shared" si="18"/>
        <v>1304</v>
      </c>
      <c r="R106" s="16">
        <v>1390</v>
      </c>
      <c r="S106" s="17">
        <f t="shared" si="36"/>
        <v>1440</v>
      </c>
      <c r="T106" s="17">
        <f t="shared" si="24"/>
        <v>1445</v>
      </c>
      <c r="U106" s="17">
        <f t="shared" si="31"/>
        <v>1354</v>
      </c>
      <c r="V106" s="18">
        <v>14</v>
      </c>
      <c r="W106" s="18">
        <v>10</v>
      </c>
      <c r="X106" s="21">
        <v>10</v>
      </c>
    </row>
    <row r="107" spans="2:24" x14ac:dyDescent="0.45">
      <c r="B107" s="28">
        <v>105</v>
      </c>
      <c r="C107" s="10">
        <v>1300</v>
      </c>
      <c r="D107" s="11">
        <v>6</v>
      </c>
      <c r="E107" s="11">
        <v>4</v>
      </c>
      <c r="F107" s="11">
        <v>6</v>
      </c>
      <c r="G107" s="11">
        <v>40</v>
      </c>
      <c r="H107" s="11"/>
      <c r="I107" s="10">
        <v>54</v>
      </c>
      <c r="J107" s="10"/>
      <c r="K107" s="10">
        <v>8</v>
      </c>
      <c r="L107" s="12">
        <v>8</v>
      </c>
      <c r="M107" s="13" t="s">
        <v>2049</v>
      </c>
      <c r="N107" s="13">
        <f t="shared" si="37"/>
        <v>148</v>
      </c>
      <c r="O107" s="13">
        <v>40</v>
      </c>
      <c r="P107" s="14">
        <v>22</v>
      </c>
      <c r="Q107" s="15">
        <f t="shared" si="18"/>
        <v>1314</v>
      </c>
      <c r="R107" s="16">
        <v>1400</v>
      </c>
      <c r="S107" s="17">
        <f t="shared" si="36"/>
        <v>1450</v>
      </c>
      <c r="T107" s="17">
        <f t="shared" si="24"/>
        <v>1455</v>
      </c>
      <c r="U107" s="17">
        <f t="shared" si="31"/>
        <v>1364</v>
      </c>
      <c r="V107" s="18">
        <v>14</v>
      </c>
      <c r="W107" s="18">
        <v>10</v>
      </c>
      <c r="X107" s="21">
        <v>10</v>
      </c>
    </row>
    <row r="108" spans="2:24" x14ac:dyDescent="0.45">
      <c r="B108" s="27">
        <v>106</v>
      </c>
      <c r="C108" s="10">
        <v>1310</v>
      </c>
      <c r="D108" s="11">
        <v>6</v>
      </c>
      <c r="E108" s="11">
        <v>4</v>
      </c>
      <c r="F108" s="11">
        <v>6</v>
      </c>
      <c r="G108" s="11">
        <v>40</v>
      </c>
      <c r="H108" s="11"/>
      <c r="I108" s="10">
        <v>54</v>
      </c>
      <c r="J108" s="10"/>
      <c r="K108" s="10">
        <v>8</v>
      </c>
      <c r="L108" s="12">
        <v>8</v>
      </c>
      <c r="M108" s="13" t="s">
        <v>2049</v>
      </c>
      <c r="N108" s="13">
        <f t="shared" si="37"/>
        <v>148</v>
      </c>
      <c r="O108" s="13">
        <v>40</v>
      </c>
      <c r="P108" s="14">
        <v>22</v>
      </c>
      <c r="Q108" s="15">
        <f t="shared" si="18"/>
        <v>1324</v>
      </c>
      <c r="R108" s="16">
        <v>1410</v>
      </c>
      <c r="S108" s="17">
        <f t="shared" si="36"/>
        <v>1460</v>
      </c>
      <c r="T108" s="17">
        <f t="shared" si="24"/>
        <v>1465</v>
      </c>
      <c r="U108" s="17">
        <f t="shared" si="31"/>
        <v>1374</v>
      </c>
      <c r="V108" s="18">
        <v>14</v>
      </c>
      <c r="W108" s="18">
        <v>10</v>
      </c>
      <c r="X108" s="21">
        <v>10</v>
      </c>
    </row>
    <row r="109" spans="2:24" x14ac:dyDescent="0.45">
      <c r="B109" s="28">
        <v>107</v>
      </c>
      <c r="C109" s="10">
        <v>1320</v>
      </c>
      <c r="D109" s="11">
        <v>6</v>
      </c>
      <c r="E109" s="11">
        <v>4</v>
      </c>
      <c r="F109" s="11">
        <v>6</v>
      </c>
      <c r="G109" s="11">
        <v>40</v>
      </c>
      <c r="H109" s="11"/>
      <c r="I109" s="10">
        <v>54</v>
      </c>
      <c r="J109" s="10"/>
      <c r="K109" s="10">
        <v>8</v>
      </c>
      <c r="L109" s="12">
        <v>8</v>
      </c>
      <c r="M109" s="13" t="s">
        <v>2049</v>
      </c>
      <c r="N109" s="13">
        <f t="shared" si="37"/>
        <v>148</v>
      </c>
      <c r="O109" s="13">
        <v>40</v>
      </c>
      <c r="P109" s="14">
        <v>22</v>
      </c>
      <c r="Q109" s="15">
        <f t="shared" si="18"/>
        <v>1334</v>
      </c>
      <c r="R109" s="16">
        <v>1420</v>
      </c>
      <c r="S109" s="17">
        <f t="shared" si="36"/>
        <v>1470</v>
      </c>
      <c r="T109" s="17">
        <f t="shared" si="24"/>
        <v>1475</v>
      </c>
      <c r="U109" s="17">
        <f t="shared" si="31"/>
        <v>1384</v>
      </c>
      <c r="V109" s="18">
        <v>14</v>
      </c>
      <c r="W109" s="18">
        <v>10</v>
      </c>
      <c r="X109" s="21">
        <v>10</v>
      </c>
    </row>
    <row r="110" spans="2:24" x14ac:dyDescent="0.45">
      <c r="B110" s="27">
        <v>108</v>
      </c>
      <c r="C110" s="10">
        <v>1330</v>
      </c>
      <c r="D110" s="11">
        <v>6</v>
      </c>
      <c r="E110" s="11">
        <v>4</v>
      </c>
      <c r="F110" s="11">
        <v>6</v>
      </c>
      <c r="G110" s="11">
        <v>40</v>
      </c>
      <c r="H110" s="11"/>
      <c r="I110" s="10">
        <v>54</v>
      </c>
      <c r="J110" s="10"/>
      <c r="K110" s="10">
        <v>8</v>
      </c>
      <c r="L110" s="12">
        <v>8</v>
      </c>
      <c r="M110" s="13" t="s">
        <v>2049</v>
      </c>
      <c r="N110" s="13">
        <f t="shared" si="37"/>
        <v>148</v>
      </c>
      <c r="O110" s="13">
        <v>40</v>
      </c>
      <c r="P110" s="14">
        <v>22</v>
      </c>
      <c r="Q110" s="15">
        <f t="shared" si="18"/>
        <v>1344</v>
      </c>
      <c r="R110" s="16">
        <v>1430</v>
      </c>
      <c r="S110" s="17">
        <f t="shared" si="36"/>
        <v>1480</v>
      </c>
      <c r="T110" s="17">
        <f t="shared" si="24"/>
        <v>1485</v>
      </c>
      <c r="U110" s="17">
        <f t="shared" si="31"/>
        <v>1394</v>
      </c>
      <c r="V110" s="18">
        <v>14</v>
      </c>
      <c r="W110" s="18">
        <v>10</v>
      </c>
      <c r="X110" s="21">
        <v>10</v>
      </c>
    </row>
    <row r="111" spans="2:24" x14ac:dyDescent="0.45">
      <c r="B111" s="28">
        <v>109</v>
      </c>
      <c r="C111" s="10">
        <v>1340</v>
      </c>
      <c r="D111" s="11">
        <v>6</v>
      </c>
      <c r="E111" s="11">
        <v>4</v>
      </c>
      <c r="F111" s="11">
        <v>6</v>
      </c>
      <c r="G111" s="11">
        <v>40</v>
      </c>
      <c r="H111" s="11"/>
      <c r="I111" s="10">
        <v>54</v>
      </c>
      <c r="J111" s="10"/>
      <c r="K111" s="10">
        <v>8</v>
      </c>
      <c r="L111" s="12">
        <v>8</v>
      </c>
      <c r="M111" s="13" t="s">
        <v>2049</v>
      </c>
      <c r="N111" s="13">
        <f t="shared" si="37"/>
        <v>148</v>
      </c>
      <c r="O111" s="13">
        <v>40</v>
      </c>
      <c r="P111" s="14">
        <v>22</v>
      </c>
      <c r="Q111" s="15">
        <f t="shared" si="18"/>
        <v>1354</v>
      </c>
      <c r="R111" s="16">
        <v>1440</v>
      </c>
      <c r="S111" s="17">
        <f t="shared" si="36"/>
        <v>1490</v>
      </c>
      <c r="T111" s="17">
        <f t="shared" si="24"/>
        <v>1495</v>
      </c>
      <c r="U111" s="17">
        <f t="shared" si="31"/>
        <v>1404</v>
      </c>
      <c r="V111" s="18">
        <v>14</v>
      </c>
      <c r="W111" s="18">
        <v>10</v>
      </c>
      <c r="X111" s="21">
        <v>10</v>
      </c>
    </row>
    <row r="112" spans="2:24" x14ac:dyDescent="0.45">
      <c r="B112" s="27">
        <v>110</v>
      </c>
      <c r="C112" s="10">
        <v>1350</v>
      </c>
      <c r="D112" s="11">
        <v>6</v>
      </c>
      <c r="E112" s="11">
        <v>4</v>
      </c>
      <c r="F112" s="11">
        <v>6</v>
      </c>
      <c r="G112" s="11">
        <v>40</v>
      </c>
      <c r="H112" s="11"/>
      <c r="I112" s="10">
        <v>54</v>
      </c>
      <c r="J112" s="10"/>
      <c r="K112" s="10">
        <v>8</v>
      </c>
      <c r="L112" s="12">
        <v>8</v>
      </c>
      <c r="M112" s="13" t="s">
        <v>2049</v>
      </c>
      <c r="N112" s="13">
        <f t="shared" si="37"/>
        <v>148</v>
      </c>
      <c r="O112" s="13">
        <v>40</v>
      </c>
      <c r="P112" s="14">
        <v>22</v>
      </c>
      <c r="Q112" s="15">
        <f t="shared" si="18"/>
        <v>1364</v>
      </c>
      <c r="R112" s="16">
        <v>1450</v>
      </c>
      <c r="S112" s="17">
        <f t="shared" si="36"/>
        <v>1500</v>
      </c>
      <c r="T112" s="17">
        <f t="shared" si="24"/>
        <v>1505</v>
      </c>
      <c r="U112" s="17">
        <f t="shared" si="31"/>
        <v>1414</v>
      </c>
      <c r="V112" s="18">
        <v>14</v>
      </c>
      <c r="W112" s="18">
        <v>10</v>
      </c>
      <c r="X112" s="21">
        <v>10</v>
      </c>
    </row>
    <row r="113" spans="2:24" x14ac:dyDescent="0.45">
      <c r="B113" s="28">
        <v>111</v>
      </c>
      <c r="C113" s="10">
        <v>1360</v>
      </c>
      <c r="D113" s="11">
        <v>6</v>
      </c>
      <c r="E113" s="11">
        <v>4</v>
      </c>
      <c r="F113" s="11">
        <v>6</v>
      </c>
      <c r="G113" s="11">
        <v>40</v>
      </c>
      <c r="H113" s="11"/>
      <c r="I113" s="10">
        <v>54</v>
      </c>
      <c r="J113" s="10"/>
      <c r="K113" s="10">
        <v>8</v>
      </c>
      <c r="L113" s="12">
        <v>8</v>
      </c>
      <c r="M113" s="13" t="s">
        <v>2049</v>
      </c>
      <c r="N113" s="13">
        <f t="shared" si="37"/>
        <v>148</v>
      </c>
      <c r="O113" s="13">
        <v>40</v>
      </c>
      <c r="P113" s="14">
        <v>22</v>
      </c>
      <c r="Q113" s="15">
        <f t="shared" si="18"/>
        <v>1374</v>
      </c>
      <c r="R113" s="16">
        <v>1460</v>
      </c>
      <c r="S113" s="17">
        <f t="shared" si="36"/>
        <v>1510</v>
      </c>
      <c r="T113" s="17">
        <f t="shared" si="24"/>
        <v>1515</v>
      </c>
      <c r="U113" s="17">
        <f t="shared" si="31"/>
        <v>1424</v>
      </c>
      <c r="V113" s="18">
        <v>14</v>
      </c>
      <c r="W113" s="18">
        <v>10</v>
      </c>
      <c r="X113" s="21">
        <v>10</v>
      </c>
    </row>
    <row r="114" spans="2:24" x14ac:dyDescent="0.45">
      <c r="B114" s="27">
        <v>112</v>
      </c>
      <c r="C114" s="10">
        <v>1370</v>
      </c>
      <c r="D114" s="11">
        <v>6</v>
      </c>
      <c r="E114" s="11">
        <v>4</v>
      </c>
      <c r="F114" s="11">
        <v>6</v>
      </c>
      <c r="G114" s="11">
        <v>40</v>
      </c>
      <c r="H114" s="11"/>
      <c r="I114" s="10">
        <v>54</v>
      </c>
      <c r="J114" s="10"/>
      <c r="K114" s="10">
        <v>8</v>
      </c>
      <c r="L114" s="12">
        <v>8</v>
      </c>
      <c r="M114" s="13" t="s">
        <v>2049</v>
      </c>
      <c r="N114" s="13">
        <f t="shared" si="37"/>
        <v>148</v>
      </c>
      <c r="O114" s="13">
        <v>40</v>
      </c>
      <c r="P114" s="14">
        <v>22</v>
      </c>
      <c r="Q114" s="15">
        <f t="shared" ref="Q114:Q177" si="38">C114+(2*D114)+2</f>
        <v>1384</v>
      </c>
      <c r="R114" s="16">
        <v>1470</v>
      </c>
      <c r="S114" s="17">
        <f t="shared" si="36"/>
        <v>1520</v>
      </c>
      <c r="T114" s="17">
        <f t="shared" si="24"/>
        <v>1525</v>
      </c>
      <c r="U114" s="17">
        <f t="shared" si="31"/>
        <v>1434</v>
      </c>
      <c r="V114" s="18">
        <v>14</v>
      </c>
      <c r="W114" s="18">
        <v>10</v>
      </c>
      <c r="X114" s="21">
        <v>10</v>
      </c>
    </row>
    <row r="115" spans="2:24" x14ac:dyDescent="0.45">
      <c r="B115" s="28">
        <v>113</v>
      </c>
      <c r="C115" s="10">
        <v>1380</v>
      </c>
      <c r="D115" s="11">
        <v>6</v>
      </c>
      <c r="E115" s="11">
        <v>4</v>
      </c>
      <c r="F115" s="11">
        <v>6</v>
      </c>
      <c r="G115" s="11">
        <v>40</v>
      </c>
      <c r="H115" s="11"/>
      <c r="I115" s="10">
        <v>54</v>
      </c>
      <c r="J115" s="10"/>
      <c r="K115" s="10">
        <v>8</v>
      </c>
      <c r="L115" s="12">
        <v>8</v>
      </c>
      <c r="M115" s="13" t="s">
        <v>2049</v>
      </c>
      <c r="N115" s="13">
        <f t="shared" si="37"/>
        <v>148</v>
      </c>
      <c r="O115" s="13">
        <v>40</v>
      </c>
      <c r="P115" s="14">
        <v>22</v>
      </c>
      <c r="Q115" s="15">
        <f t="shared" si="38"/>
        <v>1394</v>
      </c>
      <c r="R115" s="16">
        <v>1480</v>
      </c>
      <c r="S115" s="17">
        <f t="shared" si="36"/>
        <v>1530</v>
      </c>
      <c r="T115" s="17">
        <f t="shared" si="24"/>
        <v>1535</v>
      </c>
      <c r="U115" s="17">
        <f t="shared" si="31"/>
        <v>1444</v>
      </c>
      <c r="V115" s="18">
        <v>14</v>
      </c>
      <c r="W115" s="18">
        <v>10</v>
      </c>
      <c r="X115" s="21">
        <v>10</v>
      </c>
    </row>
    <row r="116" spans="2:24" x14ac:dyDescent="0.45">
      <c r="B116" s="27">
        <v>114</v>
      </c>
      <c r="C116" s="10">
        <v>1390</v>
      </c>
      <c r="D116" s="11">
        <v>6</v>
      </c>
      <c r="E116" s="11">
        <v>4</v>
      </c>
      <c r="F116" s="11">
        <v>6</v>
      </c>
      <c r="G116" s="11">
        <v>40</v>
      </c>
      <c r="H116" s="11"/>
      <c r="I116" s="10">
        <v>54</v>
      </c>
      <c r="J116" s="10"/>
      <c r="K116" s="10">
        <v>8</v>
      </c>
      <c r="L116" s="12">
        <v>8</v>
      </c>
      <c r="M116" s="13" t="s">
        <v>2049</v>
      </c>
      <c r="N116" s="13">
        <f t="shared" si="37"/>
        <v>148</v>
      </c>
      <c r="O116" s="13">
        <v>40</v>
      </c>
      <c r="P116" s="14">
        <v>22</v>
      </c>
      <c r="Q116" s="15">
        <f t="shared" si="38"/>
        <v>1404</v>
      </c>
      <c r="R116" s="16">
        <v>1490</v>
      </c>
      <c r="S116" s="17">
        <f t="shared" si="36"/>
        <v>1540</v>
      </c>
      <c r="T116" s="17">
        <f t="shared" si="24"/>
        <v>1545</v>
      </c>
      <c r="U116" s="17">
        <f t="shared" si="31"/>
        <v>1454</v>
      </c>
      <c r="V116" s="18">
        <v>14</v>
      </c>
      <c r="W116" s="18">
        <v>10</v>
      </c>
      <c r="X116" s="21">
        <v>10</v>
      </c>
    </row>
    <row r="117" spans="2:24" x14ac:dyDescent="0.45">
      <c r="B117" s="28">
        <v>115</v>
      </c>
      <c r="C117" s="10">
        <v>1400</v>
      </c>
      <c r="D117" s="11">
        <v>6</v>
      </c>
      <c r="E117" s="11">
        <v>4</v>
      </c>
      <c r="F117" s="11">
        <v>6</v>
      </c>
      <c r="G117" s="11">
        <v>40</v>
      </c>
      <c r="H117" s="11"/>
      <c r="I117" s="10">
        <v>54</v>
      </c>
      <c r="J117" s="10"/>
      <c r="K117" s="10">
        <v>8</v>
      </c>
      <c r="L117" s="12">
        <v>8</v>
      </c>
      <c r="M117" s="13" t="s">
        <v>2049</v>
      </c>
      <c r="N117" s="13">
        <f t="shared" si="37"/>
        <v>148</v>
      </c>
      <c r="O117" s="13">
        <v>40</v>
      </c>
      <c r="P117" s="14">
        <v>22</v>
      </c>
      <c r="Q117" s="15">
        <f t="shared" si="38"/>
        <v>1414</v>
      </c>
      <c r="R117" s="16">
        <v>1500</v>
      </c>
      <c r="S117" s="17">
        <f t="shared" si="36"/>
        <v>1550</v>
      </c>
      <c r="T117" s="17">
        <f t="shared" si="24"/>
        <v>1555</v>
      </c>
      <c r="U117" s="17">
        <f t="shared" si="31"/>
        <v>1464</v>
      </c>
      <c r="V117" s="18">
        <v>14</v>
      </c>
      <c r="W117" s="18">
        <v>10</v>
      </c>
      <c r="X117" s="21">
        <v>10</v>
      </c>
    </row>
    <row r="118" spans="2:24" x14ac:dyDescent="0.45">
      <c r="B118" s="27">
        <v>116</v>
      </c>
      <c r="C118" s="10">
        <v>1410</v>
      </c>
      <c r="D118" s="11">
        <v>6</v>
      </c>
      <c r="E118" s="11">
        <v>4</v>
      </c>
      <c r="F118" s="11">
        <v>6</v>
      </c>
      <c r="G118" s="11">
        <v>42</v>
      </c>
      <c r="H118" s="11"/>
      <c r="I118" s="10">
        <v>60</v>
      </c>
      <c r="J118" s="10"/>
      <c r="K118" s="10">
        <v>8</v>
      </c>
      <c r="L118" s="12">
        <v>8</v>
      </c>
      <c r="M118" s="13" t="s">
        <v>2049</v>
      </c>
      <c r="N118" s="13">
        <f t="shared" si="37"/>
        <v>156</v>
      </c>
      <c r="O118" s="13">
        <v>40</v>
      </c>
      <c r="P118" s="14">
        <v>22</v>
      </c>
      <c r="Q118" s="15">
        <f t="shared" si="38"/>
        <v>1424</v>
      </c>
      <c r="R118" s="16">
        <v>1510</v>
      </c>
      <c r="S118" s="17">
        <f t="shared" si="36"/>
        <v>1560</v>
      </c>
      <c r="T118" s="17">
        <f t="shared" si="24"/>
        <v>1565</v>
      </c>
      <c r="U118" s="17">
        <f t="shared" si="31"/>
        <v>1474</v>
      </c>
      <c r="V118" s="18">
        <v>14</v>
      </c>
      <c r="W118" s="18">
        <v>10</v>
      </c>
      <c r="X118" s="21">
        <v>10</v>
      </c>
    </row>
    <row r="119" spans="2:24" x14ac:dyDescent="0.45">
      <c r="B119" s="28">
        <v>117</v>
      </c>
      <c r="C119" s="10">
        <v>1420</v>
      </c>
      <c r="D119" s="11">
        <v>6</v>
      </c>
      <c r="E119" s="11">
        <v>4</v>
      </c>
      <c r="F119" s="11">
        <v>6</v>
      </c>
      <c r="G119" s="11">
        <v>42</v>
      </c>
      <c r="H119" s="11"/>
      <c r="I119" s="10">
        <v>60</v>
      </c>
      <c r="J119" s="10"/>
      <c r="K119" s="10">
        <v>8</v>
      </c>
      <c r="L119" s="12">
        <v>8</v>
      </c>
      <c r="M119" s="13" t="s">
        <v>2049</v>
      </c>
      <c r="N119" s="13">
        <f t="shared" si="37"/>
        <v>156</v>
      </c>
      <c r="O119" s="13">
        <v>40</v>
      </c>
      <c r="P119" s="14">
        <v>22</v>
      </c>
      <c r="Q119" s="15">
        <f t="shared" si="38"/>
        <v>1434</v>
      </c>
      <c r="R119" s="16">
        <v>1520</v>
      </c>
      <c r="S119" s="17">
        <f t="shared" si="36"/>
        <v>1570</v>
      </c>
      <c r="T119" s="17">
        <f t="shared" si="24"/>
        <v>1575</v>
      </c>
      <c r="U119" s="17">
        <f t="shared" si="31"/>
        <v>1484</v>
      </c>
      <c r="V119" s="18">
        <v>14</v>
      </c>
      <c r="W119" s="18">
        <v>10</v>
      </c>
      <c r="X119" s="21">
        <v>10</v>
      </c>
    </row>
    <row r="120" spans="2:24" x14ac:dyDescent="0.45">
      <c r="B120" s="27">
        <v>118</v>
      </c>
      <c r="C120" s="10">
        <v>1430</v>
      </c>
      <c r="D120" s="11">
        <v>6</v>
      </c>
      <c r="E120" s="11">
        <v>4</v>
      </c>
      <c r="F120" s="11">
        <v>6</v>
      </c>
      <c r="G120" s="11">
        <v>42</v>
      </c>
      <c r="H120" s="11"/>
      <c r="I120" s="10">
        <v>60</v>
      </c>
      <c r="J120" s="10"/>
      <c r="K120" s="10">
        <v>8</v>
      </c>
      <c r="L120" s="12">
        <v>8</v>
      </c>
      <c r="M120" s="13" t="s">
        <v>2049</v>
      </c>
      <c r="N120" s="13">
        <f t="shared" si="37"/>
        <v>156</v>
      </c>
      <c r="O120" s="13">
        <v>40</v>
      </c>
      <c r="P120" s="14">
        <v>22</v>
      </c>
      <c r="Q120" s="15">
        <f t="shared" si="38"/>
        <v>1444</v>
      </c>
      <c r="R120" s="16">
        <v>1530</v>
      </c>
      <c r="S120" s="17">
        <f t="shared" si="36"/>
        <v>1580</v>
      </c>
      <c r="T120" s="17">
        <f t="shared" si="24"/>
        <v>1585</v>
      </c>
      <c r="U120" s="17">
        <f t="shared" si="31"/>
        <v>1494</v>
      </c>
      <c r="V120" s="18">
        <v>14</v>
      </c>
      <c r="W120" s="18">
        <v>10</v>
      </c>
      <c r="X120" s="21">
        <v>10</v>
      </c>
    </row>
    <row r="121" spans="2:24" x14ac:dyDescent="0.45">
      <c r="B121" s="28">
        <v>119</v>
      </c>
      <c r="C121" s="10">
        <v>1440</v>
      </c>
      <c r="D121" s="11">
        <v>6</v>
      </c>
      <c r="E121" s="11">
        <v>4</v>
      </c>
      <c r="F121" s="11">
        <v>6</v>
      </c>
      <c r="G121" s="11">
        <v>42</v>
      </c>
      <c r="H121" s="11"/>
      <c r="I121" s="10">
        <v>60</v>
      </c>
      <c r="J121" s="10"/>
      <c r="K121" s="10">
        <v>8</v>
      </c>
      <c r="L121" s="12">
        <v>8</v>
      </c>
      <c r="M121" s="13" t="s">
        <v>2049</v>
      </c>
      <c r="N121" s="13">
        <f t="shared" si="37"/>
        <v>156</v>
      </c>
      <c r="O121" s="13">
        <v>40</v>
      </c>
      <c r="P121" s="14">
        <v>22</v>
      </c>
      <c r="Q121" s="15">
        <f t="shared" si="38"/>
        <v>1454</v>
      </c>
      <c r="R121" s="16">
        <v>1540</v>
      </c>
      <c r="S121" s="17">
        <f t="shared" si="36"/>
        <v>1590</v>
      </c>
      <c r="T121" s="17">
        <f t="shared" si="24"/>
        <v>1595</v>
      </c>
      <c r="U121" s="17">
        <f t="shared" si="31"/>
        <v>1504</v>
      </c>
      <c r="V121" s="18">
        <v>14</v>
      </c>
      <c r="W121" s="18">
        <v>10</v>
      </c>
      <c r="X121" s="21">
        <v>10</v>
      </c>
    </row>
    <row r="122" spans="2:24" x14ac:dyDescent="0.45">
      <c r="B122" s="27">
        <v>120</v>
      </c>
      <c r="C122" s="10">
        <v>1450</v>
      </c>
      <c r="D122" s="11">
        <v>6</v>
      </c>
      <c r="E122" s="11">
        <v>4</v>
      </c>
      <c r="F122" s="11">
        <v>6</v>
      </c>
      <c r="G122" s="11">
        <v>42</v>
      </c>
      <c r="H122" s="11"/>
      <c r="I122" s="10">
        <v>60</v>
      </c>
      <c r="J122" s="10"/>
      <c r="K122" s="10">
        <v>8</v>
      </c>
      <c r="L122" s="12">
        <v>8</v>
      </c>
      <c r="M122" s="13" t="s">
        <v>2049</v>
      </c>
      <c r="N122" s="13">
        <f t="shared" si="37"/>
        <v>156</v>
      </c>
      <c r="O122" s="13">
        <v>40</v>
      </c>
      <c r="P122" s="14">
        <v>22</v>
      </c>
      <c r="Q122" s="15">
        <f t="shared" si="38"/>
        <v>1464</v>
      </c>
      <c r="R122" s="16">
        <v>1550</v>
      </c>
      <c r="S122" s="17">
        <f t="shared" si="36"/>
        <v>1600</v>
      </c>
      <c r="T122" s="17">
        <f t="shared" si="24"/>
        <v>1605</v>
      </c>
      <c r="U122" s="17">
        <f t="shared" si="31"/>
        <v>1514</v>
      </c>
      <c r="V122" s="18">
        <v>14</v>
      </c>
      <c r="W122" s="18">
        <v>10</v>
      </c>
      <c r="X122" s="21">
        <v>10</v>
      </c>
    </row>
    <row r="123" spans="2:24" x14ac:dyDescent="0.45">
      <c r="B123" s="28">
        <v>121</v>
      </c>
      <c r="C123" s="10">
        <v>1460</v>
      </c>
      <c r="D123" s="11">
        <v>6</v>
      </c>
      <c r="E123" s="11">
        <v>4</v>
      </c>
      <c r="F123" s="11">
        <v>6</v>
      </c>
      <c r="G123" s="11">
        <v>42</v>
      </c>
      <c r="H123" s="11"/>
      <c r="I123" s="10">
        <v>60</v>
      </c>
      <c r="J123" s="10"/>
      <c r="K123" s="10">
        <v>8</v>
      </c>
      <c r="L123" s="12">
        <v>8</v>
      </c>
      <c r="M123" s="13" t="s">
        <v>2049</v>
      </c>
      <c r="N123" s="13">
        <f t="shared" si="37"/>
        <v>156</v>
      </c>
      <c r="O123" s="13">
        <v>48</v>
      </c>
      <c r="P123" s="14">
        <v>22</v>
      </c>
      <c r="Q123" s="15">
        <f t="shared" si="38"/>
        <v>1474</v>
      </c>
      <c r="R123" s="16">
        <v>1560</v>
      </c>
      <c r="S123" s="17">
        <f t="shared" si="36"/>
        <v>1610</v>
      </c>
      <c r="T123" s="17">
        <f t="shared" si="24"/>
        <v>1615</v>
      </c>
      <c r="U123" s="17">
        <f t="shared" si="31"/>
        <v>1524</v>
      </c>
      <c r="V123" s="18">
        <v>14</v>
      </c>
      <c r="W123" s="18">
        <v>10</v>
      </c>
      <c r="X123" s="21">
        <v>10</v>
      </c>
    </row>
    <row r="124" spans="2:24" x14ac:dyDescent="0.45">
      <c r="B124" s="27">
        <v>122</v>
      </c>
      <c r="C124" s="10">
        <v>1470</v>
      </c>
      <c r="D124" s="11">
        <v>6</v>
      </c>
      <c r="E124" s="11">
        <v>4</v>
      </c>
      <c r="F124" s="11">
        <v>6</v>
      </c>
      <c r="G124" s="11">
        <v>42</v>
      </c>
      <c r="H124" s="11"/>
      <c r="I124" s="10">
        <v>60</v>
      </c>
      <c r="J124" s="10"/>
      <c r="K124" s="10">
        <v>8</v>
      </c>
      <c r="L124" s="12">
        <v>8</v>
      </c>
      <c r="M124" s="13" t="s">
        <v>2049</v>
      </c>
      <c r="N124" s="13">
        <f t="shared" si="37"/>
        <v>156</v>
      </c>
      <c r="O124" s="13">
        <v>48</v>
      </c>
      <c r="P124" s="14">
        <v>22</v>
      </c>
      <c r="Q124" s="15">
        <f t="shared" si="38"/>
        <v>1484</v>
      </c>
      <c r="R124" s="16">
        <v>1570</v>
      </c>
      <c r="S124" s="17">
        <f t="shared" si="36"/>
        <v>1620</v>
      </c>
      <c r="T124" s="17">
        <f t="shared" si="24"/>
        <v>1625</v>
      </c>
      <c r="U124" s="17">
        <f t="shared" si="31"/>
        <v>1534</v>
      </c>
      <c r="V124" s="18">
        <v>14</v>
      </c>
      <c r="W124" s="18">
        <v>10</v>
      </c>
      <c r="X124" s="21">
        <v>10</v>
      </c>
    </row>
    <row r="125" spans="2:24" x14ac:dyDescent="0.45">
      <c r="B125" s="28">
        <v>123</v>
      </c>
      <c r="C125" s="10">
        <v>1480</v>
      </c>
      <c r="D125" s="11">
        <v>6</v>
      </c>
      <c r="E125" s="11">
        <v>4</v>
      </c>
      <c r="F125" s="11">
        <v>6</v>
      </c>
      <c r="G125" s="11">
        <v>42</v>
      </c>
      <c r="H125" s="11"/>
      <c r="I125" s="10">
        <v>60</v>
      </c>
      <c r="J125" s="10"/>
      <c r="K125" s="10">
        <v>8</v>
      </c>
      <c r="L125" s="12">
        <v>8</v>
      </c>
      <c r="M125" s="13" t="s">
        <v>2049</v>
      </c>
      <c r="N125" s="13">
        <f t="shared" si="37"/>
        <v>156</v>
      </c>
      <c r="O125" s="13">
        <v>48</v>
      </c>
      <c r="P125" s="14">
        <v>22</v>
      </c>
      <c r="Q125" s="15">
        <f t="shared" si="38"/>
        <v>1494</v>
      </c>
      <c r="R125" s="16">
        <v>1580</v>
      </c>
      <c r="S125" s="17">
        <f t="shared" si="36"/>
        <v>1630</v>
      </c>
      <c r="T125" s="17">
        <f t="shared" si="24"/>
        <v>1635</v>
      </c>
      <c r="U125" s="17">
        <f t="shared" si="31"/>
        <v>1544</v>
      </c>
      <c r="V125" s="18">
        <v>14</v>
      </c>
      <c r="W125" s="18">
        <v>10</v>
      </c>
      <c r="X125" s="21">
        <v>10</v>
      </c>
    </row>
    <row r="126" spans="2:24" x14ac:dyDescent="0.45">
      <c r="B126" s="27">
        <v>124</v>
      </c>
      <c r="C126" s="10">
        <v>1490</v>
      </c>
      <c r="D126" s="11">
        <v>6</v>
      </c>
      <c r="E126" s="11">
        <v>4</v>
      </c>
      <c r="F126" s="11">
        <v>6</v>
      </c>
      <c r="G126" s="11">
        <v>42</v>
      </c>
      <c r="H126" s="11"/>
      <c r="I126" s="10">
        <v>60</v>
      </c>
      <c r="J126" s="10"/>
      <c r="K126" s="10">
        <v>8</v>
      </c>
      <c r="L126" s="12">
        <v>8</v>
      </c>
      <c r="M126" s="13" t="s">
        <v>2049</v>
      </c>
      <c r="N126" s="13">
        <f t="shared" si="37"/>
        <v>156</v>
      </c>
      <c r="O126" s="13">
        <v>48</v>
      </c>
      <c r="P126" s="14">
        <v>22</v>
      </c>
      <c r="Q126" s="15">
        <f t="shared" si="38"/>
        <v>1504</v>
      </c>
      <c r="R126" s="16">
        <v>1590</v>
      </c>
      <c r="S126" s="17">
        <f t="shared" si="36"/>
        <v>1640</v>
      </c>
      <c r="T126" s="17">
        <f t="shared" si="24"/>
        <v>1645</v>
      </c>
      <c r="U126" s="17">
        <f t="shared" si="31"/>
        <v>1554</v>
      </c>
      <c r="V126" s="18">
        <v>14</v>
      </c>
      <c r="W126" s="18">
        <v>10</v>
      </c>
      <c r="X126" s="21">
        <v>10</v>
      </c>
    </row>
    <row r="127" spans="2:24" x14ac:dyDescent="0.45">
      <c r="B127" s="28">
        <v>125</v>
      </c>
      <c r="C127" s="10">
        <v>1500</v>
      </c>
      <c r="D127" s="11">
        <v>6</v>
      </c>
      <c r="E127" s="11">
        <v>4</v>
      </c>
      <c r="F127" s="11">
        <v>6</v>
      </c>
      <c r="G127" s="11">
        <v>42</v>
      </c>
      <c r="H127" s="11"/>
      <c r="I127" s="10">
        <v>60</v>
      </c>
      <c r="J127" s="10"/>
      <c r="K127" s="10">
        <v>8</v>
      </c>
      <c r="L127" s="12">
        <v>8</v>
      </c>
      <c r="M127" s="13" t="s">
        <v>2049</v>
      </c>
      <c r="N127" s="13">
        <f t="shared" si="37"/>
        <v>156</v>
      </c>
      <c r="O127" s="13">
        <v>48</v>
      </c>
      <c r="P127" s="14">
        <v>22</v>
      </c>
      <c r="Q127" s="15">
        <f t="shared" si="38"/>
        <v>1514</v>
      </c>
      <c r="R127" s="16">
        <v>1600</v>
      </c>
      <c r="S127" s="17">
        <f t="shared" si="36"/>
        <v>1650</v>
      </c>
      <c r="T127" s="17">
        <f t="shared" si="24"/>
        <v>1655</v>
      </c>
      <c r="U127" s="17">
        <f t="shared" si="31"/>
        <v>1564</v>
      </c>
      <c r="V127" s="18">
        <v>14</v>
      </c>
      <c r="W127" s="18">
        <v>10</v>
      </c>
      <c r="X127" s="21">
        <v>10</v>
      </c>
    </row>
    <row r="128" spans="2:24" x14ac:dyDescent="0.45">
      <c r="B128" s="27">
        <v>126</v>
      </c>
      <c r="C128" s="10">
        <v>1510</v>
      </c>
      <c r="D128" s="11">
        <v>8</v>
      </c>
      <c r="E128" s="11">
        <v>4</v>
      </c>
      <c r="F128" s="11">
        <v>8</v>
      </c>
      <c r="G128" s="11">
        <v>44</v>
      </c>
      <c r="H128" s="11"/>
      <c r="I128" s="10">
        <v>65</v>
      </c>
      <c r="J128" s="10"/>
      <c r="K128" s="10">
        <v>12</v>
      </c>
      <c r="L128" s="12">
        <v>10</v>
      </c>
      <c r="M128" s="13" t="s">
        <v>2044</v>
      </c>
      <c r="N128" s="13">
        <f t="shared" si="37"/>
        <v>168</v>
      </c>
      <c r="O128" s="13">
        <v>40</v>
      </c>
      <c r="P128" s="14">
        <v>27</v>
      </c>
      <c r="Q128" s="15">
        <f t="shared" si="38"/>
        <v>1528</v>
      </c>
      <c r="R128" s="16">
        <v>1620</v>
      </c>
      <c r="S128" s="17">
        <f>R128+60</f>
        <v>1680</v>
      </c>
      <c r="T128" s="17">
        <f t="shared" si="24"/>
        <v>1685</v>
      </c>
      <c r="U128" s="17">
        <f>Q128+58</f>
        <v>1586</v>
      </c>
      <c r="V128" s="18">
        <v>14</v>
      </c>
      <c r="W128" s="18">
        <v>12</v>
      </c>
      <c r="X128" s="21">
        <v>10</v>
      </c>
    </row>
    <row r="129" spans="2:24" x14ac:dyDescent="0.45">
      <c r="B129" s="28">
        <v>127</v>
      </c>
      <c r="C129" s="10">
        <v>1520</v>
      </c>
      <c r="D129" s="11">
        <v>8</v>
      </c>
      <c r="E129" s="11">
        <v>4</v>
      </c>
      <c r="F129" s="11">
        <v>8</v>
      </c>
      <c r="G129" s="11">
        <v>44</v>
      </c>
      <c r="H129" s="11"/>
      <c r="I129" s="10">
        <v>65</v>
      </c>
      <c r="J129" s="10"/>
      <c r="K129" s="10">
        <v>12</v>
      </c>
      <c r="L129" s="12">
        <v>10</v>
      </c>
      <c r="M129" s="13" t="s">
        <v>2044</v>
      </c>
      <c r="N129" s="13">
        <f t="shared" si="37"/>
        <v>168</v>
      </c>
      <c r="O129" s="13">
        <v>40</v>
      </c>
      <c r="P129" s="14">
        <v>27</v>
      </c>
      <c r="Q129" s="15">
        <f t="shared" si="38"/>
        <v>1538</v>
      </c>
      <c r="R129" s="16">
        <v>1640</v>
      </c>
      <c r="S129" s="17">
        <f>R129+60</f>
        <v>1700</v>
      </c>
      <c r="T129" s="17">
        <f t="shared" si="24"/>
        <v>1705</v>
      </c>
      <c r="U129" s="17">
        <f>Q129+62</f>
        <v>1600</v>
      </c>
      <c r="V129" s="18">
        <v>14</v>
      </c>
      <c r="W129" s="18">
        <v>12</v>
      </c>
      <c r="X129" s="21">
        <v>10</v>
      </c>
    </row>
    <row r="130" spans="2:24" x14ac:dyDescent="0.45">
      <c r="B130" s="27">
        <v>128</v>
      </c>
      <c r="C130" s="10">
        <v>1530</v>
      </c>
      <c r="D130" s="11">
        <v>8</v>
      </c>
      <c r="E130" s="11">
        <v>4</v>
      </c>
      <c r="F130" s="11">
        <v>8</v>
      </c>
      <c r="G130" s="11">
        <v>44</v>
      </c>
      <c r="H130" s="11"/>
      <c r="I130" s="10">
        <v>65</v>
      </c>
      <c r="J130" s="10"/>
      <c r="K130" s="10">
        <v>12</v>
      </c>
      <c r="L130" s="12">
        <v>10</v>
      </c>
      <c r="M130" s="13" t="s">
        <v>2044</v>
      </c>
      <c r="N130" s="13">
        <f t="shared" si="37"/>
        <v>168</v>
      </c>
      <c r="O130" s="13">
        <v>40</v>
      </c>
      <c r="P130" s="14">
        <v>27</v>
      </c>
      <c r="Q130" s="15">
        <f t="shared" si="38"/>
        <v>1548</v>
      </c>
      <c r="R130" s="16">
        <v>1650</v>
      </c>
      <c r="S130" s="17">
        <f>R130+60</f>
        <v>1710</v>
      </c>
      <c r="T130" s="17">
        <f t="shared" si="24"/>
        <v>1715</v>
      </c>
      <c r="U130" s="17">
        <f>Q130+62</f>
        <v>1610</v>
      </c>
      <c r="V130" s="18">
        <v>14</v>
      </c>
      <c r="W130" s="18">
        <v>12</v>
      </c>
      <c r="X130" s="21">
        <v>10</v>
      </c>
    </row>
    <row r="131" spans="2:24" x14ac:dyDescent="0.45">
      <c r="B131" s="28">
        <v>129</v>
      </c>
      <c r="C131" s="10">
        <v>1540</v>
      </c>
      <c r="D131" s="11">
        <v>8</v>
      </c>
      <c r="E131" s="11">
        <v>4</v>
      </c>
      <c r="F131" s="11">
        <v>8</v>
      </c>
      <c r="G131" s="11">
        <v>44</v>
      </c>
      <c r="H131" s="11"/>
      <c r="I131" s="10">
        <v>65</v>
      </c>
      <c r="J131" s="10"/>
      <c r="K131" s="10">
        <v>12</v>
      </c>
      <c r="L131" s="12">
        <v>10</v>
      </c>
      <c r="M131" s="13" t="s">
        <v>2044</v>
      </c>
      <c r="N131" s="13">
        <f t="shared" si="37"/>
        <v>168</v>
      </c>
      <c r="O131" s="13">
        <v>40</v>
      </c>
      <c r="P131" s="14">
        <v>27</v>
      </c>
      <c r="Q131" s="15">
        <f t="shared" si="38"/>
        <v>1558</v>
      </c>
      <c r="R131" s="16">
        <v>1660</v>
      </c>
      <c r="S131" s="17">
        <f t="shared" ref="S131:S194" si="39">R131+60</f>
        <v>1720</v>
      </c>
      <c r="T131" s="17">
        <f t="shared" si="24"/>
        <v>1725</v>
      </c>
      <c r="U131" s="17">
        <f t="shared" ref="U131:U177" si="40">Q131+62</f>
        <v>1620</v>
      </c>
      <c r="V131" s="18">
        <v>14</v>
      </c>
      <c r="W131" s="18">
        <v>12</v>
      </c>
      <c r="X131" s="21">
        <v>10</v>
      </c>
    </row>
    <row r="132" spans="2:24" x14ac:dyDescent="0.45">
      <c r="B132" s="27">
        <v>130</v>
      </c>
      <c r="C132" s="10">
        <v>1550</v>
      </c>
      <c r="D132" s="11">
        <v>8</v>
      </c>
      <c r="E132" s="11">
        <v>4</v>
      </c>
      <c r="F132" s="11">
        <v>8</v>
      </c>
      <c r="G132" s="11">
        <v>44</v>
      </c>
      <c r="H132" s="11"/>
      <c r="I132" s="10">
        <v>65</v>
      </c>
      <c r="J132" s="10"/>
      <c r="K132" s="10">
        <v>12</v>
      </c>
      <c r="L132" s="12">
        <v>10</v>
      </c>
      <c r="M132" s="13" t="s">
        <v>2044</v>
      </c>
      <c r="N132" s="13">
        <f t="shared" ref="N132:N195" si="41">G132+I132+15+P132+17</f>
        <v>168</v>
      </c>
      <c r="O132" s="13">
        <v>40</v>
      </c>
      <c r="P132" s="14">
        <v>27</v>
      </c>
      <c r="Q132" s="15">
        <f t="shared" si="38"/>
        <v>1568</v>
      </c>
      <c r="R132" s="16">
        <v>1670</v>
      </c>
      <c r="S132" s="17">
        <f t="shared" si="39"/>
        <v>1730</v>
      </c>
      <c r="T132" s="17">
        <f t="shared" ref="T132:T195" si="42">S132+5</f>
        <v>1735</v>
      </c>
      <c r="U132" s="17">
        <f t="shared" si="40"/>
        <v>1630</v>
      </c>
      <c r="V132" s="18">
        <v>16</v>
      </c>
      <c r="W132" s="18">
        <v>12</v>
      </c>
      <c r="X132" s="21">
        <v>15</v>
      </c>
    </row>
    <row r="133" spans="2:24" x14ac:dyDescent="0.45">
      <c r="B133" s="28">
        <v>131</v>
      </c>
      <c r="C133" s="10">
        <v>1560</v>
      </c>
      <c r="D133" s="11">
        <v>8</v>
      </c>
      <c r="E133" s="11">
        <v>4</v>
      </c>
      <c r="F133" s="11">
        <v>8</v>
      </c>
      <c r="G133" s="11">
        <v>44</v>
      </c>
      <c r="H133" s="11"/>
      <c r="I133" s="10">
        <v>65</v>
      </c>
      <c r="J133" s="10"/>
      <c r="K133" s="10">
        <v>12</v>
      </c>
      <c r="L133" s="12">
        <v>10</v>
      </c>
      <c r="M133" s="13" t="s">
        <v>2044</v>
      </c>
      <c r="N133" s="13">
        <f t="shared" si="41"/>
        <v>168</v>
      </c>
      <c r="O133" s="13">
        <v>40</v>
      </c>
      <c r="P133" s="14">
        <v>27</v>
      </c>
      <c r="Q133" s="15">
        <f t="shared" si="38"/>
        <v>1578</v>
      </c>
      <c r="R133" s="16">
        <v>1680</v>
      </c>
      <c r="S133" s="17">
        <f t="shared" si="39"/>
        <v>1740</v>
      </c>
      <c r="T133" s="17">
        <f t="shared" si="42"/>
        <v>1745</v>
      </c>
      <c r="U133" s="17">
        <f t="shared" si="40"/>
        <v>1640</v>
      </c>
      <c r="V133" s="18">
        <v>16</v>
      </c>
      <c r="W133" s="18">
        <v>12</v>
      </c>
      <c r="X133" s="21">
        <v>15</v>
      </c>
    </row>
    <row r="134" spans="2:24" x14ac:dyDescent="0.45">
      <c r="B134" s="27">
        <v>132</v>
      </c>
      <c r="C134" s="10">
        <v>1570</v>
      </c>
      <c r="D134" s="11">
        <v>8</v>
      </c>
      <c r="E134" s="11">
        <v>4</v>
      </c>
      <c r="F134" s="11">
        <v>8</v>
      </c>
      <c r="G134" s="11">
        <v>44</v>
      </c>
      <c r="H134" s="11"/>
      <c r="I134" s="10">
        <v>65</v>
      </c>
      <c r="J134" s="10"/>
      <c r="K134" s="10">
        <v>12</v>
      </c>
      <c r="L134" s="12">
        <v>10</v>
      </c>
      <c r="M134" s="13" t="s">
        <v>2044</v>
      </c>
      <c r="N134" s="13">
        <f t="shared" si="41"/>
        <v>168</v>
      </c>
      <c r="O134" s="13">
        <v>40</v>
      </c>
      <c r="P134" s="14">
        <v>27</v>
      </c>
      <c r="Q134" s="15">
        <f t="shared" si="38"/>
        <v>1588</v>
      </c>
      <c r="R134" s="16">
        <v>1690</v>
      </c>
      <c r="S134" s="17">
        <f t="shared" si="39"/>
        <v>1750</v>
      </c>
      <c r="T134" s="17">
        <f t="shared" si="42"/>
        <v>1755</v>
      </c>
      <c r="U134" s="17">
        <f t="shared" si="40"/>
        <v>1650</v>
      </c>
      <c r="V134" s="18">
        <v>16</v>
      </c>
      <c r="W134" s="18">
        <v>12</v>
      </c>
      <c r="X134" s="21">
        <v>15</v>
      </c>
    </row>
    <row r="135" spans="2:24" x14ac:dyDescent="0.45">
      <c r="B135" s="28">
        <v>133</v>
      </c>
      <c r="C135" s="10">
        <v>1580</v>
      </c>
      <c r="D135" s="11">
        <v>8</v>
      </c>
      <c r="E135" s="11">
        <v>4</v>
      </c>
      <c r="F135" s="11">
        <v>8</v>
      </c>
      <c r="G135" s="11">
        <v>44</v>
      </c>
      <c r="H135" s="11"/>
      <c r="I135" s="10">
        <v>65</v>
      </c>
      <c r="J135" s="10"/>
      <c r="K135" s="10">
        <v>12</v>
      </c>
      <c r="L135" s="12">
        <v>10</v>
      </c>
      <c r="M135" s="13" t="s">
        <v>2044</v>
      </c>
      <c r="N135" s="13">
        <f t="shared" si="41"/>
        <v>168</v>
      </c>
      <c r="O135" s="13">
        <v>40</v>
      </c>
      <c r="P135" s="14">
        <v>27</v>
      </c>
      <c r="Q135" s="15">
        <f t="shared" si="38"/>
        <v>1598</v>
      </c>
      <c r="R135" s="16">
        <v>1700</v>
      </c>
      <c r="S135" s="17">
        <f t="shared" si="39"/>
        <v>1760</v>
      </c>
      <c r="T135" s="17">
        <f t="shared" si="42"/>
        <v>1765</v>
      </c>
      <c r="U135" s="17">
        <f t="shared" si="40"/>
        <v>1660</v>
      </c>
      <c r="V135" s="18">
        <v>16</v>
      </c>
      <c r="W135" s="18">
        <v>12</v>
      </c>
      <c r="X135" s="21">
        <v>15</v>
      </c>
    </row>
    <row r="136" spans="2:24" x14ac:dyDescent="0.45">
      <c r="B136" s="27">
        <v>134</v>
      </c>
      <c r="C136" s="10">
        <v>1590</v>
      </c>
      <c r="D136" s="11">
        <v>8</v>
      </c>
      <c r="E136" s="11">
        <v>4</v>
      </c>
      <c r="F136" s="11">
        <v>8</v>
      </c>
      <c r="G136" s="11">
        <v>44</v>
      </c>
      <c r="H136" s="11"/>
      <c r="I136" s="10">
        <v>65</v>
      </c>
      <c r="J136" s="10"/>
      <c r="K136" s="10">
        <v>12</v>
      </c>
      <c r="L136" s="12">
        <v>10</v>
      </c>
      <c r="M136" s="13" t="s">
        <v>2044</v>
      </c>
      <c r="N136" s="13">
        <f t="shared" si="41"/>
        <v>168</v>
      </c>
      <c r="O136" s="13">
        <v>40</v>
      </c>
      <c r="P136" s="14">
        <v>27</v>
      </c>
      <c r="Q136" s="15">
        <f t="shared" si="38"/>
        <v>1608</v>
      </c>
      <c r="R136" s="16">
        <v>1710</v>
      </c>
      <c r="S136" s="17">
        <f t="shared" si="39"/>
        <v>1770</v>
      </c>
      <c r="T136" s="17">
        <f t="shared" si="42"/>
        <v>1775</v>
      </c>
      <c r="U136" s="17">
        <f t="shared" si="40"/>
        <v>1670</v>
      </c>
      <c r="V136" s="18">
        <v>16</v>
      </c>
      <c r="W136" s="18">
        <v>12</v>
      </c>
      <c r="X136" s="21">
        <v>15</v>
      </c>
    </row>
    <row r="137" spans="2:24" x14ac:dyDescent="0.45">
      <c r="B137" s="27">
        <v>135</v>
      </c>
      <c r="C137" s="10">
        <v>1600</v>
      </c>
      <c r="D137" s="11">
        <v>8</v>
      </c>
      <c r="E137" s="11">
        <v>4</v>
      </c>
      <c r="F137" s="11">
        <v>8</v>
      </c>
      <c r="G137" s="11">
        <v>44</v>
      </c>
      <c r="H137" s="11"/>
      <c r="I137" s="10">
        <v>65</v>
      </c>
      <c r="J137" s="10"/>
      <c r="K137" s="10">
        <v>12</v>
      </c>
      <c r="L137" s="12">
        <v>10</v>
      </c>
      <c r="M137" s="13" t="s">
        <v>2044</v>
      </c>
      <c r="N137" s="13">
        <f t="shared" si="41"/>
        <v>168</v>
      </c>
      <c r="O137" s="13">
        <v>40</v>
      </c>
      <c r="P137" s="14">
        <v>27</v>
      </c>
      <c r="Q137" s="15">
        <f t="shared" si="38"/>
        <v>1618</v>
      </c>
      <c r="R137" s="16">
        <v>1720</v>
      </c>
      <c r="S137" s="17">
        <f t="shared" si="39"/>
        <v>1780</v>
      </c>
      <c r="T137" s="17">
        <f t="shared" si="42"/>
        <v>1785</v>
      </c>
      <c r="U137" s="17">
        <f t="shared" si="40"/>
        <v>1680</v>
      </c>
      <c r="V137" s="18">
        <v>16</v>
      </c>
      <c r="W137" s="18">
        <v>12</v>
      </c>
      <c r="X137" s="21">
        <v>15</v>
      </c>
    </row>
    <row r="138" spans="2:24" x14ac:dyDescent="0.45">
      <c r="B138" s="28">
        <v>136</v>
      </c>
      <c r="C138" s="10">
        <v>1610</v>
      </c>
      <c r="D138" s="11">
        <v>8</v>
      </c>
      <c r="E138" s="11">
        <v>4</v>
      </c>
      <c r="F138" s="11">
        <v>8</v>
      </c>
      <c r="G138" s="11">
        <v>44</v>
      </c>
      <c r="H138" s="11"/>
      <c r="I138" s="10">
        <v>65</v>
      </c>
      <c r="J138" s="10"/>
      <c r="K138" s="10">
        <v>12</v>
      </c>
      <c r="L138" s="12">
        <v>10</v>
      </c>
      <c r="M138" s="13" t="s">
        <v>2044</v>
      </c>
      <c r="N138" s="13">
        <f t="shared" si="41"/>
        <v>168</v>
      </c>
      <c r="O138" s="13">
        <v>40</v>
      </c>
      <c r="P138" s="14">
        <v>27</v>
      </c>
      <c r="Q138" s="15">
        <f t="shared" si="38"/>
        <v>1628</v>
      </c>
      <c r="R138" s="16">
        <v>1730</v>
      </c>
      <c r="S138" s="17">
        <f t="shared" si="39"/>
        <v>1790</v>
      </c>
      <c r="T138" s="17">
        <f t="shared" si="42"/>
        <v>1795</v>
      </c>
      <c r="U138" s="17">
        <f t="shared" si="40"/>
        <v>1690</v>
      </c>
      <c r="V138" s="18">
        <v>16</v>
      </c>
      <c r="W138" s="18">
        <v>12</v>
      </c>
      <c r="X138" s="21">
        <v>15</v>
      </c>
    </row>
    <row r="139" spans="2:24" x14ac:dyDescent="0.45">
      <c r="B139" s="27">
        <v>137</v>
      </c>
      <c r="C139" s="10">
        <v>1620</v>
      </c>
      <c r="D139" s="11">
        <v>8</v>
      </c>
      <c r="E139" s="11">
        <v>4</v>
      </c>
      <c r="F139" s="11">
        <v>8</v>
      </c>
      <c r="G139" s="11">
        <v>44</v>
      </c>
      <c r="H139" s="11"/>
      <c r="I139" s="10">
        <v>65</v>
      </c>
      <c r="J139" s="10"/>
      <c r="K139" s="10">
        <v>12</v>
      </c>
      <c r="L139" s="12">
        <v>10</v>
      </c>
      <c r="M139" s="13" t="s">
        <v>2044</v>
      </c>
      <c r="N139" s="13">
        <f t="shared" si="41"/>
        <v>168</v>
      </c>
      <c r="O139" s="13">
        <v>40</v>
      </c>
      <c r="P139" s="14">
        <v>27</v>
      </c>
      <c r="Q139" s="15">
        <f t="shared" si="38"/>
        <v>1638</v>
      </c>
      <c r="R139" s="16">
        <v>1740</v>
      </c>
      <c r="S139" s="17">
        <f t="shared" si="39"/>
        <v>1800</v>
      </c>
      <c r="T139" s="17">
        <f t="shared" si="42"/>
        <v>1805</v>
      </c>
      <c r="U139" s="17">
        <f t="shared" si="40"/>
        <v>1700</v>
      </c>
      <c r="V139" s="18">
        <v>16</v>
      </c>
      <c r="W139" s="18">
        <v>12</v>
      </c>
      <c r="X139" s="21">
        <v>15</v>
      </c>
    </row>
    <row r="140" spans="2:24" x14ac:dyDescent="0.45">
      <c r="B140" s="28">
        <v>138</v>
      </c>
      <c r="C140" s="10">
        <v>1630</v>
      </c>
      <c r="D140" s="11">
        <v>8</v>
      </c>
      <c r="E140" s="11">
        <v>4</v>
      </c>
      <c r="F140" s="11">
        <v>8</v>
      </c>
      <c r="G140" s="11">
        <v>44</v>
      </c>
      <c r="H140" s="11"/>
      <c r="I140" s="10">
        <v>65</v>
      </c>
      <c r="J140" s="10"/>
      <c r="K140" s="10">
        <v>12</v>
      </c>
      <c r="L140" s="12">
        <v>10</v>
      </c>
      <c r="M140" s="13" t="s">
        <v>2044</v>
      </c>
      <c r="N140" s="13">
        <f t="shared" si="41"/>
        <v>168</v>
      </c>
      <c r="O140" s="13">
        <v>40</v>
      </c>
      <c r="P140" s="14">
        <v>27</v>
      </c>
      <c r="Q140" s="15">
        <f t="shared" si="38"/>
        <v>1648</v>
      </c>
      <c r="R140" s="16">
        <v>1750</v>
      </c>
      <c r="S140" s="17">
        <f t="shared" si="39"/>
        <v>1810</v>
      </c>
      <c r="T140" s="17">
        <f t="shared" si="42"/>
        <v>1815</v>
      </c>
      <c r="U140" s="17">
        <f t="shared" si="40"/>
        <v>1710</v>
      </c>
      <c r="V140" s="18">
        <v>16</v>
      </c>
      <c r="W140" s="18">
        <v>12</v>
      </c>
      <c r="X140" s="21">
        <v>15</v>
      </c>
    </row>
    <row r="141" spans="2:24" x14ac:dyDescent="0.45">
      <c r="B141" s="27">
        <v>139</v>
      </c>
      <c r="C141" s="10">
        <v>1640</v>
      </c>
      <c r="D141" s="11">
        <v>8</v>
      </c>
      <c r="E141" s="11">
        <v>4</v>
      </c>
      <c r="F141" s="11">
        <v>8</v>
      </c>
      <c r="G141" s="11">
        <v>44</v>
      </c>
      <c r="H141" s="11"/>
      <c r="I141" s="10">
        <v>65</v>
      </c>
      <c r="J141" s="10"/>
      <c r="K141" s="10">
        <v>12</v>
      </c>
      <c r="L141" s="12">
        <v>10</v>
      </c>
      <c r="M141" s="13" t="s">
        <v>2044</v>
      </c>
      <c r="N141" s="13">
        <f t="shared" si="41"/>
        <v>168</v>
      </c>
      <c r="O141" s="13">
        <v>44</v>
      </c>
      <c r="P141" s="14">
        <v>27</v>
      </c>
      <c r="Q141" s="15">
        <f t="shared" si="38"/>
        <v>1658</v>
      </c>
      <c r="R141" s="16">
        <v>1760</v>
      </c>
      <c r="S141" s="17">
        <f t="shared" si="39"/>
        <v>1820</v>
      </c>
      <c r="T141" s="17">
        <f t="shared" si="42"/>
        <v>1825</v>
      </c>
      <c r="U141" s="17">
        <f t="shared" si="40"/>
        <v>1720</v>
      </c>
      <c r="V141" s="18">
        <v>16</v>
      </c>
      <c r="W141" s="18">
        <v>12</v>
      </c>
      <c r="X141" s="21">
        <v>15</v>
      </c>
    </row>
    <row r="142" spans="2:24" x14ac:dyDescent="0.45">
      <c r="B142" s="27">
        <v>140</v>
      </c>
      <c r="C142" s="10">
        <v>1650</v>
      </c>
      <c r="D142" s="11">
        <v>8</v>
      </c>
      <c r="E142" s="11">
        <v>4</v>
      </c>
      <c r="F142" s="11">
        <v>8</v>
      </c>
      <c r="G142" s="11">
        <v>44</v>
      </c>
      <c r="H142" s="11"/>
      <c r="I142" s="10">
        <v>65</v>
      </c>
      <c r="J142" s="10"/>
      <c r="K142" s="10">
        <v>12</v>
      </c>
      <c r="L142" s="12">
        <v>10</v>
      </c>
      <c r="M142" s="13" t="s">
        <v>2044</v>
      </c>
      <c r="N142" s="13">
        <f t="shared" si="41"/>
        <v>168</v>
      </c>
      <c r="O142" s="13">
        <v>44</v>
      </c>
      <c r="P142" s="14">
        <v>27</v>
      </c>
      <c r="Q142" s="15">
        <f t="shared" si="38"/>
        <v>1668</v>
      </c>
      <c r="R142" s="16">
        <v>1770</v>
      </c>
      <c r="S142" s="17">
        <f t="shared" si="39"/>
        <v>1830</v>
      </c>
      <c r="T142" s="17">
        <f t="shared" si="42"/>
        <v>1835</v>
      </c>
      <c r="U142" s="17">
        <f t="shared" si="40"/>
        <v>1730</v>
      </c>
      <c r="V142" s="18">
        <v>16</v>
      </c>
      <c r="W142" s="18">
        <v>12</v>
      </c>
      <c r="X142" s="21">
        <v>15</v>
      </c>
    </row>
    <row r="143" spans="2:24" x14ac:dyDescent="0.45">
      <c r="B143" s="28">
        <v>141</v>
      </c>
      <c r="C143" s="10">
        <v>1660</v>
      </c>
      <c r="D143" s="11">
        <v>8</v>
      </c>
      <c r="E143" s="11">
        <v>4</v>
      </c>
      <c r="F143" s="11">
        <v>8</v>
      </c>
      <c r="G143" s="11">
        <v>44</v>
      </c>
      <c r="H143" s="11"/>
      <c r="I143" s="10">
        <v>65</v>
      </c>
      <c r="J143" s="10"/>
      <c r="K143" s="10">
        <v>12</v>
      </c>
      <c r="L143" s="12">
        <v>10</v>
      </c>
      <c r="M143" s="13" t="s">
        <v>2044</v>
      </c>
      <c r="N143" s="13">
        <f t="shared" si="41"/>
        <v>168</v>
      </c>
      <c r="O143" s="13">
        <v>44</v>
      </c>
      <c r="P143" s="14">
        <v>27</v>
      </c>
      <c r="Q143" s="15">
        <f t="shared" si="38"/>
        <v>1678</v>
      </c>
      <c r="R143" s="16">
        <v>1780</v>
      </c>
      <c r="S143" s="17">
        <f t="shared" si="39"/>
        <v>1840</v>
      </c>
      <c r="T143" s="17">
        <f t="shared" si="42"/>
        <v>1845</v>
      </c>
      <c r="U143" s="17">
        <f t="shared" si="40"/>
        <v>1740</v>
      </c>
      <c r="V143" s="18">
        <v>16</v>
      </c>
      <c r="W143" s="18">
        <v>12</v>
      </c>
      <c r="X143" s="21">
        <v>15</v>
      </c>
    </row>
    <row r="144" spans="2:24" x14ac:dyDescent="0.45">
      <c r="B144" s="27">
        <v>142</v>
      </c>
      <c r="C144" s="10">
        <v>1670</v>
      </c>
      <c r="D144" s="11">
        <v>8</v>
      </c>
      <c r="E144" s="11">
        <v>4</v>
      </c>
      <c r="F144" s="11">
        <v>8</v>
      </c>
      <c r="G144" s="11">
        <v>44</v>
      </c>
      <c r="H144" s="11"/>
      <c r="I144" s="10">
        <v>65</v>
      </c>
      <c r="J144" s="10"/>
      <c r="K144" s="10">
        <v>12</v>
      </c>
      <c r="L144" s="12">
        <v>10</v>
      </c>
      <c r="M144" s="13" t="s">
        <v>2044</v>
      </c>
      <c r="N144" s="13">
        <f t="shared" si="41"/>
        <v>168</v>
      </c>
      <c r="O144" s="13">
        <v>44</v>
      </c>
      <c r="P144" s="14">
        <v>27</v>
      </c>
      <c r="Q144" s="15">
        <f t="shared" si="38"/>
        <v>1688</v>
      </c>
      <c r="R144" s="16">
        <v>1790</v>
      </c>
      <c r="S144" s="17">
        <f t="shared" si="39"/>
        <v>1850</v>
      </c>
      <c r="T144" s="17">
        <f t="shared" si="42"/>
        <v>1855</v>
      </c>
      <c r="U144" s="17">
        <f t="shared" si="40"/>
        <v>1750</v>
      </c>
      <c r="V144" s="18">
        <v>16</v>
      </c>
      <c r="W144" s="18">
        <v>12</v>
      </c>
      <c r="X144" s="21">
        <v>15</v>
      </c>
    </row>
    <row r="145" spans="2:24" x14ac:dyDescent="0.45">
      <c r="B145" s="28">
        <v>143</v>
      </c>
      <c r="C145" s="10">
        <v>1680</v>
      </c>
      <c r="D145" s="11">
        <v>8</v>
      </c>
      <c r="E145" s="11">
        <v>4</v>
      </c>
      <c r="F145" s="11">
        <v>8</v>
      </c>
      <c r="G145" s="11">
        <v>44</v>
      </c>
      <c r="H145" s="11"/>
      <c r="I145" s="10">
        <v>65</v>
      </c>
      <c r="J145" s="10"/>
      <c r="K145" s="10">
        <v>12</v>
      </c>
      <c r="L145" s="12">
        <v>10</v>
      </c>
      <c r="M145" s="13" t="s">
        <v>2044</v>
      </c>
      <c r="N145" s="13">
        <f t="shared" si="41"/>
        <v>168</v>
      </c>
      <c r="O145" s="13">
        <v>44</v>
      </c>
      <c r="P145" s="14">
        <v>27</v>
      </c>
      <c r="Q145" s="15">
        <f t="shared" si="38"/>
        <v>1698</v>
      </c>
      <c r="R145" s="16">
        <v>1800</v>
      </c>
      <c r="S145" s="17">
        <f t="shared" si="39"/>
        <v>1860</v>
      </c>
      <c r="T145" s="17">
        <f t="shared" si="42"/>
        <v>1865</v>
      </c>
      <c r="U145" s="17">
        <f t="shared" si="40"/>
        <v>1760</v>
      </c>
      <c r="V145" s="18">
        <v>16</v>
      </c>
      <c r="W145" s="18">
        <v>12</v>
      </c>
      <c r="X145" s="21">
        <v>15</v>
      </c>
    </row>
    <row r="146" spans="2:24" x14ac:dyDescent="0.45">
      <c r="B146" s="27">
        <v>144</v>
      </c>
      <c r="C146" s="10">
        <v>1690</v>
      </c>
      <c r="D146" s="11">
        <v>8</v>
      </c>
      <c r="E146" s="11">
        <v>4</v>
      </c>
      <c r="F146" s="11">
        <v>8</v>
      </c>
      <c r="G146" s="11">
        <v>44</v>
      </c>
      <c r="H146" s="11"/>
      <c r="I146" s="10">
        <v>65</v>
      </c>
      <c r="J146" s="10"/>
      <c r="K146" s="10">
        <v>12</v>
      </c>
      <c r="L146" s="12">
        <v>10</v>
      </c>
      <c r="M146" s="13" t="s">
        <v>2044</v>
      </c>
      <c r="N146" s="13">
        <f t="shared" si="41"/>
        <v>168</v>
      </c>
      <c r="O146" s="13">
        <v>44</v>
      </c>
      <c r="P146" s="14">
        <v>27</v>
      </c>
      <c r="Q146" s="15">
        <f t="shared" si="38"/>
        <v>1708</v>
      </c>
      <c r="R146" s="16">
        <v>1810</v>
      </c>
      <c r="S146" s="17">
        <f t="shared" si="39"/>
        <v>1870</v>
      </c>
      <c r="T146" s="17">
        <f t="shared" si="42"/>
        <v>1875</v>
      </c>
      <c r="U146" s="17">
        <f t="shared" si="40"/>
        <v>1770</v>
      </c>
      <c r="V146" s="18">
        <v>16</v>
      </c>
      <c r="W146" s="18">
        <v>12</v>
      </c>
      <c r="X146" s="21">
        <v>15</v>
      </c>
    </row>
    <row r="147" spans="2:24" x14ac:dyDescent="0.45">
      <c r="B147" s="27">
        <v>145</v>
      </c>
      <c r="C147" s="10">
        <v>1700</v>
      </c>
      <c r="D147" s="11">
        <v>8</v>
      </c>
      <c r="E147" s="11">
        <v>4</v>
      </c>
      <c r="F147" s="11">
        <v>8</v>
      </c>
      <c r="G147" s="11">
        <v>44</v>
      </c>
      <c r="H147" s="11"/>
      <c r="I147" s="10">
        <v>65</v>
      </c>
      <c r="J147" s="10"/>
      <c r="K147" s="10">
        <v>12</v>
      </c>
      <c r="L147" s="12">
        <v>10</v>
      </c>
      <c r="M147" s="13" t="s">
        <v>2044</v>
      </c>
      <c r="N147" s="13">
        <f t="shared" si="41"/>
        <v>168</v>
      </c>
      <c r="O147" s="13">
        <v>44</v>
      </c>
      <c r="P147" s="14">
        <v>27</v>
      </c>
      <c r="Q147" s="15">
        <f t="shared" si="38"/>
        <v>1718</v>
      </c>
      <c r="R147" s="16">
        <v>1820</v>
      </c>
      <c r="S147" s="17">
        <f t="shared" si="39"/>
        <v>1880</v>
      </c>
      <c r="T147" s="17">
        <f t="shared" si="42"/>
        <v>1885</v>
      </c>
      <c r="U147" s="17">
        <f t="shared" si="40"/>
        <v>1780</v>
      </c>
      <c r="V147" s="18">
        <v>16</v>
      </c>
      <c r="W147" s="18">
        <v>12</v>
      </c>
      <c r="X147" s="21">
        <v>15</v>
      </c>
    </row>
    <row r="148" spans="2:24" x14ac:dyDescent="0.45">
      <c r="B148" s="28">
        <v>146</v>
      </c>
      <c r="C148" s="10">
        <v>1710</v>
      </c>
      <c r="D148" s="11">
        <v>8</v>
      </c>
      <c r="E148" s="11">
        <v>4</v>
      </c>
      <c r="F148" s="11">
        <v>8</v>
      </c>
      <c r="G148" s="11">
        <v>48</v>
      </c>
      <c r="H148" s="11"/>
      <c r="I148" s="10">
        <v>65</v>
      </c>
      <c r="J148" s="10"/>
      <c r="K148" s="10">
        <v>12</v>
      </c>
      <c r="L148" s="12">
        <v>10</v>
      </c>
      <c r="M148" s="13" t="s">
        <v>2044</v>
      </c>
      <c r="N148" s="13">
        <f t="shared" si="41"/>
        <v>172</v>
      </c>
      <c r="O148" s="13">
        <v>44</v>
      </c>
      <c r="P148" s="14">
        <v>27</v>
      </c>
      <c r="Q148" s="15">
        <f t="shared" si="38"/>
        <v>1728</v>
      </c>
      <c r="R148" s="16">
        <v>1830</v>
      </c>
      <c r="S148" s="17">
        <f t="shared" si="39"/>
        <v>1890</v>
      </c>
      <c r="T148" s="17">
        <f t="shared" si="42"/>
        <v>1895</v>
      </c>
      <c r="U148" s="17">
        <f t="shared" si="40"/>
        <v>1790</v>
      </c>
      <c r="V148" s="18">
        <v>16</v>
      </c>
      <c r="W148" s="18">
        <v>12</v>
      </c>
      <c r="X148" s="21">
        <v>15</v>
      </c>
    </row>
    <row r="149" spans="2:24" x14ac:dyDescent="0.45">
      <c r="B149" s="27">
        <v>147</v>
      </c>
      <c r="C149" s="10">
        <v>1720</v>
      </c>
      <c r="D149" s="11">
        <v>8</v>
      </c>
      <c r="E149" s="11">
        <v>4</v>
      </c>
      <c r="F149" s="11">
        <v>8</v>
      </c>
      <c r="G149" s="11">
        <v>48</v>
      </c>
      <c r="H149" s="11"/>
      <c r="I149" s="10">
        <v>65</v>
      </c>
      <c r="J149" s="10"/>
      <c r="K149" s="10">
        <v>12</v>
      </c>
      <c r="L149" s="12">
        <v>10</v>
      </c>
      <c r="M149" s="13" t="s">
        <v>2044</v>
      </c>
      <c r="N149" s="13">
        <f t="shared" si="41"/>
        <v>172</v>
      </c>
      <c r="O149" s="13">
        <v>44</v>
      </c>
      <c r="P149" s="14">
        <v>27</v>
      </c>
      <c r="Q149" s="15">
        <f t="shared" si="38"/>
        <v>1738</v>
      </c>
      <c r="R149" s="16">
        <v>1840</v>
      </c>
      <c r="S149" s="17">
        <f t="shared" si="39"/>
        <v>1900</v>
      </c>
      <c r="T149" s="17">
        <f t="shared" si="42"/>
        <v>1905</v>
      </c>
      <c r="U149" s="17">
        <f t="shared" si="40"/>
        <v>1800</v>
      </c>
      <c r="V149" s="18">
        <v>16</v>
      </c>
      <c r="W149" s="18">
        <v>12</v>
      </c>
      <c r="X149" s="21">
        <v>15</v>
      </c>
    </row>
    <row r="150" spans="2:24" x14ac:dyDescent="0.45">
      <c r="B150" s="28">
        <v>148</v>
      </c>
      <c r="C150" s="10">
        <v>1730</v>
      </c>
      <c r="D150" s="11">
        <v>8</v>
      </c>
      <c r="E150" s="11">
        <v>4</v>
      </c>
      <c r="F150" s="11">
        <v>8</v>
      </c>
      <c r="G150" s="11">
        <v>48</v>
      </c>
      <c r="H150" s="11"/>
      <c r="I150" s="10">
        <v>65</v>
      </c>
      <c r="J150" s="10"/>
      <c r="K150" s="10">
        <v>12</v>
      </c>
      <c r="L150" s="12">
        <v>10</v>
      </c>
      <c r="M150" s="13" t="s">
        <v>2044</v>
      </c>
      <c r="N150" s="13">
        <f t="shared" si="41"/>
        <v>172</v>
      </c>
      <c r="O150" s="13">
        <v>44</v>
      </c>
      <c r="P150" s="14">
        <v>27</v>
      </c>
      <c r="Q150" s="15">
        <f t="shared" si="38"/>
        <v>1748</v>
      </c>
      <c r="R150" s="16">
        <v>1850</v>
      </c>
      <c r="S150" s="17">
        <f t="shared" si="39"/>
        <v>1910</v>
      </c>
      <c r="T150" s="17">
        <f t="shared" si="42"/>
        <v>1915</v>
      </c>
      <c r="U150" s="17">
        <f t="shared" si="40"/>
        <v>1810</v>
      </c>
      <c r="V150" s="18">
        <v>16</v>
      </c>
      <c r="W150" s="18">
        <v>12</v>
      </c>
      <c r="X150" s="21">
        <v>15</v>
      </c>
    </row>
    <row r="151" spans="2:24" x14ac:dyDescent="0.45">
      <c r="B151" s="27">
        <v>149</v>
      </c>
      <c r="C151" s="10">
        <v>1740</v>
      </c>
      <c r="D151" s="11">
        <v>8</v>
      </c>
      <c r="E151" s="11">
        <v>4</v>
      </c>
      <c r="F151" s="11">
        <v>8</v>
      </c>
      <c r="G151" s="11">
        <v>48</v>
      </c>
      <c r="H151" s="11"/>
      <c r="I151" s="10">
        <v>65</v>
      </c>
      <c r="J151" s="10"/>
      <c r="K151" s="10">
        <v>12</v>
      </c>
      <c r="L151" s="12">
        <v>10</v>
      </c>
      <c r="M151" s="13" t="s">
        <v>2044</v>
      </c>
      <c r="N151" s="13">
        <f t="shared" si="41"/>
        <v>172</v>
      </c>
      <c r="O151" s="13">
        <v>44</v>
      </c>
      <c r="P151" s="14">
        <v>27</v>
      </c>
      <c r="Q151" s="15">
        <f t="shared" si="38"/>
        <v>1758</v>
      </c>
      <c r="R151" s="16">
        <v>1860</v>
      </c>
      <c r="S151" s="17">
        <f t="shared" si="39"/>
        <v>1920</v>
      </c>
      <c r="T151" s="17">
        <f t="shared" si="42"/>
        <v>1925</v>
      </c>
      <c r="U151" s="17">
        <f t="shared" si="40"/>
        <v>1820</v>
      </c>
      <c r="V151" s="18">
        <v>16</v>
      </c>
      <c r="W151" s="18">
        <v>12</v>
      </c>
      <c r="X151" s="21">
        <v>15</v>
      </c>
    </row>
    <row r="152" spans="2:24" x14ac:dyDescent="0.45">
      <c r="B152" s="27">
        <v>150</v>
      </c>
      <c r="C152" s="10">
        <v>1750</v>
      </c>
      <c r="D152" s="11">
        <v>8</v>
      </c>
      <c r="E152" s="11">
        <v>4</v>
      </c>
      <c r="F152" s="11">
        <v>8</v>
      </c>
      <c r="G152" s="11">
        <v>48</v>
      </c>
      <c r="H152" s="11"/>
      <c r="I152" s="10">
        <v>65</v>
      </c>
      <c r="J152" s="10"/>
      <c r="K152" s="10">
        <v>12</v>
      </c>
      <c r="L152" s="12">
        <v>10</v>
      </c>
      <c r="M152" s="13" t="s">
        <v>2044</v>
      </c>
      <c r="N152" s="13">
        <f t="shared" si="41"/>
        <v>172</v>
      </c>
      <c r="O152" s="13">
        <v>44</v>
      </c>
      <c r="P152" s="14">
        <v>27</v>
      </c>
      <c r="Q152" s="15">
        <f t="shared" si="38"/>
        <v>1768</v>
      </c>
      <c r="R152" s="16">
        <v>1870</v>
      </c>
      <c r="S152" s="17">
        <f t="shared" si="39"/>
        <v>1930</v>
      </c>
      <c r="T152" s="17">
        <f t="shared" si="42"/>
        <v>1935</v>
      </c>
      <c r="U152" s="17">
        <f t="shared" si="40"/>
        <v>1830</v>
      </c>
      <c r="V152" s="18">
        <v>16</v>
      </c>
      <c r="W152" s="18">
        <v>12</v>
      </c>
      <c r="X152" s="21">
        <v>15</v>
      </c>
    </row>
    <row r="153" spans="2:24" x14ac:dyDescent="0.45">
      <c r="B153" s="28">
        <v>151</v>
      </c>
      <c r="C153" s="10">
        <v>1760</v>
      </c>
      <c r="D153" s="11">
        <v>8</v>
      </c>
      <c r="E153" s="11">
        <v>4</v>
      </c>
      <c r="F153" s="11">
        <v>8</v>
      </c>
      <c r="G153" s="11">
        <v>48</v>
      </c>
      <c r="H153" s="11"/>
      <c r="I153" s="10">
        <v>70</v>
      </c>
      <c r="J153" s="10"/>
      <c r="K153" s="10">
        <v>12</v>
      </c>
      <c r="L153" s="12">
        <v>10</v>
      </c>
      <c r="M153" s="13" t="s">
        <v>2044</v>
      </c>
      <c r="N153" s="13">
        <f t="shared" si="41"/>
        <v>177</v>
      </c>
      <c r="O153" s="13">
        <v>44</v>
      </c>
      <c r="P153" s="14">
        <v>27</v>
      </c>
      <c r="Q153" s="15">
        <f t="shared" si="38"/>
        <v>1778</v>
      </c>
      <c r="R153" s="16">
        <v>1880</v>
      </c>
      <c r="S153" s="17">
        <f t="shared" si="39"/>
        <v>1940</v>
      </c>
      <c r="T153" s="17">
        <f t="shared" si="42"/>
        <v>1945</v>
      </c>
      <c r="U153" s="17">
        <f t="shared" si="40"/>
        <v>1840</v>
      </c>
      <c r="V153" s="18">
        <v>16</v>
      </c>
      <c r="W153" s="18">
        <v>12</v>
      </c>
      <c r="X153" s="21">
        <v>15</v>
      </c>
    </row>
    <row r="154" spans="2:24" x14ac:dyDescent="0.45">
      <c r="B154" s="27">
        <v>152</v>
      </c>
      <c r="C154" s="10">
        <v>1770</v>
      </c>
      <c r="D154" s="11">
        <v>8</v>
      </c>
      <c r="E154" s="11">
        <v>4</v>
      </c>
      <c r="F154" s="11">
        <v>8</v>
      </c>
      <c r="G154" s="11">
        <v>48</v>
      </c>
      <c r="H154" s="11"/>
      <c r="I154" s="10">
        <v>70</v>
      </c>
      <c r="J154" s="10"/>
      <c r="K154" s="10">
        <v>12</v>
      </c>
      <c r="L154" s="12">
        <v>10</v>
      </c>
      <c r="M154" s="13" t="s">
        <v>2044</v>
      </c>
      <c r="N154" s="13">
        <f t="shared" si="41"/>
        <v>177</v>
      </c>
      <c r="O154" s="13">
        <v>44</v>
      </c>
      <c r="P154" s="14">
        <v>27</v>
      </c>
      <c r="Q154" s="15">
        <f t="shared" si="38"/>
        <v>1788</v>
      </c>
      <c r="R154" s="16">
        <v>1890</v>
      </c>
      <c r="S154" s="17">
        <f t="shared" si="39"/>
        <v>1950</v>
      </c>
      <c r="T154" s="17">
        <f t="shared" si="42"/>
        <v>1955</v>
      </c>
      <c r="U154" s="17">
        <f t="shared" si="40"/>
        <v>1850</v>
      </c>
      <c r="V154" s="18">
        <v>16</v>
      </c>
      <c r="W154" s="18">
        <v>12</v>
      </c>
      <c r="X154" s="21">
        <v>15</v>
      </c>
    </row>
    <row r="155" spans="2:24" x14ac:dyDescent="0.45">
      <c r="B155" s="28">
        <v>153</v>
      </c>
      <c r="C155" s="10">
        <v>1780</v>
      </c>
      <c r="D155" s="11">
        <v>8</v>
      </c>
      <c r="E155" s="11">
        <v>4</v>
      </c>
      <c r="F155" s="11">
        <v>8</v>
      </c>
      <c r="G155" s="11">
        <v>48</v>
      </c>
      <c r="H155" s="11"/>
      <c r="I155" s="10">
        <v>70</v>
      </c>
      <c r="J155" s="10"/>
      <c r="K155" s="10">
        <v>12</v>
      </c>
      <c r="L155" s="12">
        <v>10</v>
      </c>
      <c r="M155" s="13" t="s">
        <v>2044</v>
      </c>
      <c r="N155" s="13">
        <f t="shared" si="41"/>
        <v>177</v>
      </c>
      <c r="O155" s="13">
        <v>44</v>
      </c>
      <c r="P155" s="14">
        <v>27</v>
      </c>
      <c r="Q155" s="15">
        <f t="shared" si="38"/>
        <v>1798</v>
      </c>
      <c r="R155" s="16">
        <v>1900</v>
      </c>
      <c r="S155" s="17">
        <f t="shared" si="39"/>
        <v>1960</v>
      </c>
      <c r="T155" s="17">
        <f t="shared" si="42"/>
        <v>1965</v>
      </c>
      <c r="U155" s="17">
        <f t="shared" si="40"/>
        <v>1860</v>
      </c>
      <c r="V155" s="18">
        <v>16</v>
      </c>
      <c r="W155" s="18">
        <v>12</v>
      </c>
      <c r="X155" s="21">
        <v>15</v>
      </c>
    </row>
    <row r="156" spans="2:24" x14ac:dyDescent="0.45">
      <c r="B156" s="27">
        <v>154</v>
      </c>
      <c r="C156" s="10">
        <v>1790</v>
      </c>
      <c r="D156" s="11">
        <v>8</v>
      </c>
      <c r="E156" s="11">
        <v>4</v>
      </c>
      <c r="F156" s="11">
        <v>8</v>
      </c>
      <c r="G156" s="11">
        <v>48</v>
      </c>
      <c r="H156" s="11"/>
      <c r="I156" s="10">
        <v>70</v>
      </c>
      <c r="J156" s="10"/>
      <c r="K156" s="10">
        <v>12</v>
      </c>
      <c r="L156" s="12">
        <v>10</v>
      </c>
      <c r="M156" s="13" t="s">
        <v>2044</v>
      </c>
      <c r="N156" s="13">
        <f t="shared" si="41"/>
        <v>177</v>
      </c>
      <c r="O156" s="13">
        <v>44</v>
      </c>
      <c r="P156" s="14">
        <v>27</v>
      </c>
      <c r="Q156" s="15">
        <f t="shared" si="38"/>
        <v>1808</v>
      </c>
      <c r="R156" s="16">
        <v>1910</v>
      </c>
      <c r="S156" s="17">
        <f t="shared" si="39"/>
        <v>1970</v>
      </c>
      <c r="T156" s="17">
        <f t="shared" si="42"/>
        <v>1975</v>
      </c>
      <c r="U156" s="17">
        <f t="shared" si="40"/>
        <v>1870</v>
      </c>
      <c r="V156" s="18">
        <v>16</v>
      </c>
      <c r="W156" s="18">
        <v>12</v>
      </c>
      <c r="X156" s="21">
        <v>15</v>
      </c>
    </row>
    <row r="157" spans="2:24" x14ac:dyDescent="0.45">
      <c r="B157" s="27">
        <v>155</v>
      </c>
      <c r="C157" s="10">
        <v>1800</v>
      </c>
      <c r="D157" s="11">
        <v>8</v>
      </c>
      <c r="E157" s="11">
        <v>4</v>
      </c>
      <c r="F157" s="11">
        <v>8</v>
      </c>
      <c r="G157" s="11">
        <v>48</v>
      </c>
      <c r="H157" s="11"/>
      <c r="I157" s="10">
        <v>70</v>
      </c>
      <c r="J157" s="10"/>
      <c r="K157" s="10">
        <v>12</v>
      </c>
      <c r="L157" s="12">
        <v>10</v>
      </c>
      <c r="M157" s="13" t="s">
        <v>2044</v>
      </c>
      <c r="N157" s="13">
        <f t="shared" si="41"/>
        <v>177</v>
      </c>
      <c r="O157" s="13">
        <v>44</v>
      </c>
      <c r="P157" s="14">
        <v>27</v>
      </c>
      <c r="Q157" s="15">
        <f t="shared" si="38"/>
        <v>1818</v>
      </c>
      <c r="R157" s="16">
        <v>1920</v>
      </c>
      <c r="S157" s="17">
        <f t="shared" si="39"/>
        <v>1980</v>
      </c>
      <c r="T157" s="17">
        <f t="shared" si="42"/>
        <v>1985</v>
      </c>
      <c r="U157" s="17">
        <f t="shared" si="40"/>
        <v>1880</v>
      </c>
      <c r="V157" s="18">
        <v>16</v>
      </c>
      <c r="W157" s="18">
        <v>12</v>
      </c>
      <c r="X157" s="21">
        <v>15</v>
      </c>
    </row>
    <row r="158" spans="2:24" x14ac:dyDescent="0.45">
      <c r="B158" s="28">
        <v>156</v>
      </c>
      <c r="C158" s="10">
        <v>1810</v>
      </c>
      <c r="D158" s="11">
        <v>8</v>
      </c>
      <c r="E158" s="11">
        <v>4</v>
      </c>
      <c r="F158" s="11">
        <v>8</v>
      </c>
      <c r="G158" s="11">
        <v>48</v>
      </c>
      <c r="H158" s="11"/>
      <c r="I158" s="10">
        <v>70</v>
      </c>
      <c r="J158" s="10"/>
      <c r="K158" s="10">
        <v>12</v>
      </c>
      <c r="L158" s="12">
        <v>10</v>
      </c>
      <c r="M158" s="13" t="s">
        <v>2044</v>
      </c>
      <c r="N158" s="13">
        <f t="shared" si="41"/>
        <v>177</v>
      </c>
      <c r="O158" s="13">
        <v>44</v>
      </c>
      <c r="P158" s="14">
        <v>27</v>
      </c>
      <c r="Q158" s="15">
        <f t="shared" si="38"/>
        <v>1828</v>
      </c>
      <c r="R158" s="16">
        <v>1930</v>
      </c>
      <c r="S158" s="17">
        <f t="shared" si="39"/>
        <v>1990</v>
      </c>
      <c r="T158" s="17">
        <f t="shared" si="42"/>
        <v>1995</v>
      </c>
      <c r="U158" s="17">
        <f t="shared" si="40"/>
        <v>1890</v>
      </c>
      <c r="V158" s="18">
        <v>16</v>
      </c>
      <c r="W158" s="18">
        <v>12</v>
      </c>
      <c r="X158" s="21">
        <v>15</v>
      </c>
    </row>
    <row r="159" spans="2:24" x14ac:dyDescent="0.45">
      <c r="B159" s="27">
        <v>157</v>
      </c>
      <c r="C159" s="10">
        <v>1820</v>
      </c>
      <c r="D159" s="11">
        <v>8</v>
      </c>
      <c r="E159" s="11">
        <v>4</v>
      </c>
      <c r="F159" s="11">
        <v>8</v>
      </c>
      <c r="G159" s="11">
        <v>48</v>
      </c>
      <c r="H159" s="11"/>
      <c r="I159" s="10">
        <v>70</v>
      </c>
      <c r="J159" s="10"/>
      <c r="K159" s="10">
        <v>12</v>
      </c>
      <c r="L159" s="12">
        <v>10</v>
      </c>
      <c r="M159" s="13" t="s">
        <v>2044</v>
      </c>
      <c r="N159" s="13">
        <f t="shared" si="41"/>
        <v>177</v>
      </c>
      <c r="O159" s="13">
        <v>44</v>
      </c>
      <c r="P159" s="14">
        <v>27</v>
      </c>
      <c r="Q159" s="15">
        <f t="shared" si="38"/>
        <v>1838</v>
      </c>
      <c r="R159" s="16">
        <v>1940</v>
      </c>
      <c r="S159" s="17">
        <f t="shared" si="39"/>
        <v>2000</v>
      </c>
      <c r="T159" s="17">
        <f t="shared" si="42"/>
        <v>2005</v>
      </c>
      <c r="U159" s="17">
        <f t="shared" si="40"/>
        <v>1900</v>
      </c>
      <c r="V159" s="18">
        <v>16</v>
      </c>
      <c r="W159" s="18">
        <v>12</v>
      </c>
      <c r="X159" s="21">
        <v>15</v>
      </c>
    </row>
    <row r="160" spans="2:24" x14ac:dyDescent="0.45">
      <c r="B160" s="28">
        <v>158</v>
      </c>
      <c r="C160" s="10">
        <v>1830</v>
      </c>
      <c r="D160" s="11">
        <v>8</v>
      </c>
      <c r="E160" s="11">
        <v>4</v>
      </c>
      <c r="F160" s="11">
        <v>8</v>
      </c>
      <c r="G160" s="11">
        <v>48</v>
      </c>
      <c r="H160" s="11"/>
      <c r="I160" s="10">
        <v>70</v>
      </c>
      <c r="J160" s="10"/>
      <c r="K160" s="10">
        <v>12</v>
      </c>
      <c r="L160" s="12">
        <v>10</v>
      </c>
      <c r="M160" s="13" t="s">
        <v>2044</v>
      </c>
      <c r="N160" s="13">
        <f t="shared" si="41"/>
        <v>177</v>
      </c>
      <c r="O160" s="13">
        <v>48</v>
      </c>
      <c r="P160" s="14">
        <v>27</v>
      </c>
      <c r="Q160" s="15">
        <f t="shared" si="38"/>
        <v>1848</v>
      </c>
      <c r="R160" s="16">
        <v>1950</v>
      </c>
      <c r="S160" s="17">
        <f t="shared" si="39"/>
        <v>2010</v>
      </c>
      <c r="T160" s="17">
        <f t="shared" si="42"/>
        <v>2015</v>
      </c>
      <c r="U160" s="17">
        <f t="shared" si="40"/>
        <v>1910</v>
      </c>
      <c r="V160" s="18">
        <v>16</v>
      </c>
      <c r="W160" s="18">
        <v>12</v>
      </c>
      <c r="X160" s="21">
        <v>15</v>
      </c>
    </row>
    <row r="161" spans="2:24" x14ac:dyDescent="0.45">
      <c r="B161" s="27">
        <v>159</v>
      </c>
      <c r="C161" s="10">
        <v>1840</v>
      </c>
      <c r="D161" s="11">
        <v>8</v>
      </c>
      <c r="E161" s="11">
        <v>4</v>
      </c>
      <c r="F161" s="11">
        <v>8</v>
      </c>
      <c r="G161" s="11">
        <v>48</v>
      </c>
      <c r="H161" s="11"/>
      <c r="I161" s="10">
        <v>70</v>
      </c>
      <c r="J161" s="10"/>
      <c r="K161" s="10">
        <v>12</v>
      </c>
      <c r="L161" s="12">
        <v>10</v>
      </c>
      <c r="M161" s="13" t="s">
        <v>2044</v>
      </c>
      <c r="N161" s="13">
        <f t="shared" si="41"/>
        <v>177</v>
      </c>
      <c r="O161" s="13">
        <v>48</v>
      </c>
      <c r="P161" s="14">
        <v>27</v>
      </c>
      <c r="Q161" s="15">
        <f t="shared" si="38"/>
        <v>1858</v>
      </c>
      <c r="R161" s="16">
        <v>1960</v>
      </c>
      <c r="S161" s="17">
        <f t="shared" si="39"/>
        <v>2020</v>
      </c>
      <c r="T161" s="17">
        <f t="shared" si="42"/>
        <v>2025</v>
      </c>
      <c r="U161" s="17">
        <f t="shared" si="40"/>
        <v>1920</v>
      </c>
      <c r="V161" s="18">
        <v>16</v>
      </c>
      <c r="W161" s="18">
        <v>12</v>
      </c>
      <c r="X161" s="21">
        <v>15</v>
      </c>
    </row>
    <row r="162" spans="2:24" x14ac:dyDescent="0.45">
      <c r="B162" s="27">
        <v>160</v>
      </c>
      <c r="C162" s="10">
        <v>1850</v>
      </c>
      <c r="D162" s="11">
        <v>8</v>
      </c>
      <c r="E162" s="11">
        <v>4</v>
      </c>
      <c r="F162" s="11">
        <v>8</v>
      </c>
      <c r="G162" s="11">
        <v>48</v>
      </c>
      <c r="H162" s="11"/>
      <c r="I162" s="10">
        <v>70</v>
      </c>
      <c r="J162" s="10"/>
      <c r="K162" s="10">
        <v>12</v>
      </c>
      <c r="L162" s="12">
        <v>10</v>
      </c>
      <c r="M162" s="13" t="s">
        <v>2044</v>
      </c>
      <c r="N162" s="13">
        <f t="shared" si="41"/>
        <v>177</v>
      </c>
      <c r="O162" s="13">
        <v>48</v>
      </c>
      <c r="P162" s="14">
        <v>27</v>
      </c>
      <c r="Q162" s="15">
        <f t="shared" si="38"/>
        <v>1868</v>
      </c>
      <c r="R162" s="16">
        <v>1970</v>
      </c>
      <c r="S162" s="17">
        <f t="shared" si="39"/>
        <v>2030</v>
      </c>
      <c r="T162" s="17">
        <f t="shared" si="42"/>
        <v>2035</v>
      </c>
      <c r="U162" s="17">
        <f t="shared" si="40"/>
        <v>1930</v>
      </c>
      <c r="V162" s="18">
        <v>16</v>
      </c>
      <c r="W162" s="18">
        <v>12</v>
      </c>
      <c r="X162" s="21">
        <v>15</v>
      </c>
    </row>
    <row r="163" spans="2:24" x14ac:dyDescent="0.45">
      <c r="B163" s="28">
        <v>161</v>
      </c>
      <c r="C163" s="10">
        <v>1860</v>
      </c>
      <c r="D163" s="11">
        <v>8</v>
      </c>
      <c r="E163" s="11">
        <v>4</v>
      </c>
      <c r="F163" s="11">
        <v>8</v>
      </c>
      <c r="G163" s="11">
        <v>48</v>
      </c>
      <c r="H163" s="11"/>
      <c r="I163" s="10">
        <v>70</v>
      </c>
      <c r="J163" s="10"/>
      <c r="K163" s="10">
        <v>12</v>
      </c>
      <c r="L163" s="12">
        <v>10</v>
      </c>
      <c r="M163" s="13" t="s">
        <v>2044</v>
      </c>
      <c r="N163" s="13">
        <f t="shared" si="41"/>
        <v>177</v>
      </c>
      <c r="O163" s="13">
        <v>48</v>
      </c>
      <c r="P163" s="14">
        <v>27</v>
      </c>
      <c r="Q163" s="15">
        <f t="shared" si="38"/>
        <v>1878</v>
      </c>
      <c r="R163" s="16">
        <v>1980</v>
      </c>
      <c r="S163" s="17">
        <f t="shared" si="39"/>
        <v>2040</v>
      </c>
      <c r="T163" s="17">
        <f t="shared" si="42"/>
        <v>2045</v>
      </c>
      <c r="U163" s="17">
        <f t="shared" si="40"/>
        <v>1940</v>
      </c>
      <c r="V163" s="18">
        <v>16</v>
      </c>
      <c r="W163" s="18">
        <v>12</v>
      </c>
      <c r="X163" s="21">
        <v>15</v>
      </c>
    </row>
    <row r="164" spans="2:24" x14ac:dyDescent="0.45">
      <c r="B164" s="27">
        <v>162</v>
      </c>
      <c r="C164" s="10">
        <v>1870</v>
      </c>
      <c r="D164" s="11">
        <v>8</v>
      </c>
      <c r="E164" s="11">
        <v>4</v>
      </c>
      <c r="F164" s="11">
        <v>8</v>
      </c>
      <c r="G164" s="11">
        <v>48</v>
      </c>
      <c r="H164" s="11"/>
      <c r="I164" s="10">
        <v>70</v>
      </c>
      <c r="J164" s="10"/>
      <c r="K164" s="10">
        <v>12</v>
      </c>
      <c r="L164" s="12">
        <v>10</v>
      </c>
      <c r="M164" s="13" t="s">
        <v>2044</v>
      </c>
      <c r="N164" s="13">
        <f t="shared" si="41"/>
        <v>177</v>
      </c>
      <c r="O164" s="13">
        <v>48</v>
      </c>
      <c r="P164" s="14">
        <v>27</v>
      </c>
      <c r="Q164" s="15">
        <f t="shared" si="38"/>
        <v>1888</v>
      </c>
      <c r="R164" s="16">
        <v>1990</v>
      </c>
      <c r="S164" s="17">
        <f t="shared" si="39"/>
        <v>2050</v>
      </c>
      <c r="T164" s="17">
        <f t="shared" si="42"/>
        <v>2055</v>
      </c>
      <c r="U164" s="17">
        <f t="shared" si="40"/>
        <v>1950</v>
      </c>
      <c r="V164" s="18">
        <v>16</v>
      </c>
      <c r="W164" s="18">
        <v>12</v>
      </c>
      <c r="X164" s="21">
        <v>15</v>
      </c>
    </row>
    <row r="165" spans="2:24" x14ac:dyDescent="0.45">
      <c r="B165" s="28">
        <v>163</v>
      </c>
      <c r="C165" s="10">
        <v>1880</v>
      </c>
      <c r="D165" s="11">
        <v>8</v>
      </c>
      <c r="E165" s="11">
        <v>4</v>
      </c>
      <c r="F165" s="11">
        <v>8</v>
      </c>
      <c r="G165" s="11">
        <v>48</v>
      </c>
      <c r="H165" s="11"/>
      <c r="I165" s="10">
        <v>70</v>
      </c>
      <c r="J165" s="10"/>
      <c r="K165" s="10">
        <v>12</v>
      </c>
      <c r="L165" s="12">
        <v>10</v>
      </c>
      <c r="M165" s="13" t="s">
        <v>2044</v>
      </c>
      <c r="N165" s="13">
        <f t="shared" si="41"/>
        <v>177</v>
      </c>
      <c r="O165" s="13">
        <v>48</v>
      </c>
      <c r="P165" s="14">
        <v>27</v>
      </c>
      <c r="Q165" s="15">
        <f t="shared" si="38"/>
        <v>1898</v>
      </c>
      <c r="R165" s="16">
        <v>2000</v>
      </c>
      <c r="S165" s="17">
        <f t="shared" si="39"/>
        <v>2060</v>
      </c>
      <c r="T165" s="17">
        <f t="shared" si="42"/>
        <v>2065</v>
      </c>
      <c r="U165" s="17">
        <f t="shared" si="40"/>
        <v>1960</v>
      </c>
      <c r="V165" s="18">
        <v>16</v>
      </c>
      <c r="W165" s="18">
        <v>12</v>
      </c>
      <c r="X165" s="21">
        <v>15</v>
      </c>
    </row>
    <row r="166" spans="2:24" x14ac:dyDescent="0.45">
      <c r="B166" s="27">
        <v>164</v>
      </c>
      <c r="C166" s="10">
        <v>1890</v>
      </c>
      <c r="D166" s="11">
        <v>8</v>
      </c>
      <c r="E166" s="11">
        <v>4</v>
      </c>
      <c r="F166" s="11">
        <v>8</v>
      </c>
      <c r="G166" s="11">
        <v>48</v>
      </c>
      <c r="H166" s="11"/>
      <c r="I166" s="10">
        <v>70</v>
      </c>
      <c r="J166" s="10"/>
      <c r="K166" s="10">
        <v>12</v>
      </c>
      <c r="L166" s="12">
        <v>10</v>
      </c>
      <c r="M166" s="13" t="s">
        <v>2044</v>
      </c>
      <c r="N166" s="13">
        <f t="shared" si="41"/>
        <v>177</v>
      </c>
      <c r="O166" s="13">
        <v>48</v>
      </c>
      <c r="P166" s="14">
        <v>27</v>
      </c>
      <c r="Q166" s="15">
        <f t="shared" si="38"/>
        <v>1908</v>
      </c>
      <c r="R166" s="16">
        <v>2010</v>
      </c>
      <c r="S166" s="17">
        <f t="shared" si="39"/>
        <v>2070</v>
      </c>
      <c r="T166" s="17">
        <f t="shared" si="42"/>
        <v>2075</v>
      </c>
      <c r="U166" s="17">
        <f t="shared" si="40"/>
        <v>1970</v>
      </c>
      <c r="V166" s="18">
        <v>16</v>
      </c>
      <c r="W166" s="18">
        <v>12</v>
      </c>
      <c r="X166" s="21">
        <v>15</v>
      </c>
    </row>
    <row r="167" spans="2:24" x14ac:dyDescent="0.45">
      <c r="B167" s="27">
        <v>165</v>
      </c>
      <c r="C167" s="10">
        <v>1900</v>
      </c>
      <c r="D167" s="11">
        <v>8</v>
      </c>
      <c r="E167" s="11">
        <v>4</v>
      </c>
      <c r="F167" s="11">
        <v>8</v>
      </c>
      <c r="G167" s="11">
        <v>48</v>
      </c>
      <c r="H167" s="11"/>
      <c r="I167" s="10">
        <v>70</v>
      </c>
      <c r="J167" s="10"/>
      <c r="K167" s="10">
        <v>12</v>
      </c>
      <c r="L167" s="12">
        <v>10</v>
      </c>
      <c r="M167" s="13" t="s">
        <v>2044</v>
      </c>
      <c r="N167" s="13">
        <f t="shared" si="41"/>
        <v>177</v>
      </c>
      <c r="O167" s="13">
        <v>48</v>
      </c>
      <c r="P167" s="14">
        <v>27</v>
      </c>
      <c r="Q167" s="15">
        <f t="shared" si="38"/>
        <v>1918</v>
      </c>
      <c r="R167" s="16">
        <v>2020</v>
      </c>
      <c r="S167" s="17">
        <f t="shared" si="39"/>
        <v>2080</v>
      </c>
      <c r="T167" s="17">
        <f t="shared" si="42"/>
        <v>2085</v>
      </c>
      <c r="U167" s="17">
        <f t="shared" si="40"/>
        <v>1980</v>
      </c>
      <c r="V167" s="18">
        <v>16</v>
      </c>
      <c r="W167" s="18">
        <v>12</v>
      </c>
      <c r="X167" s="21">
        <v>15</v>
      </c>
    </row>
    <row r="168" spans="2:24" x14ac:dyDescent="0.45">
      <c r="B168" s="28">
        <v>166</v>
      </c>
      <c r="C168" s="10">
        <v>1910</v>
      </c>
      <c r="D168" s="11">
        <v>8</v>
      </c>
      <c r="E168" s="11">
        <v>4</v>
      </c>
      <c r="F168" s="11">
        <v>8</v>
      </c>
      <c r="G168" s="11">
        <v>48</v>
      </c>
      <c r="H168" s="11"/>
      <c r="I168" s="10">
        <v>70</v>
      </c>
      <c r="J168" s="10"/>
      <c r="K168" s="10">
        <v>12</v>
      </c>
      <c r="L168" s="12">
        <v>10</v>
      </c>
      <c r="M168" s="13" t="s">
        <v>2044</v>
      </c>
      <c r="N168" s="13">
        <f t="shared" si="41"/>
        <v>177</v>
      </c>
      <c r="O168" s="13">
        <v>48</v>
      </c>
      <c r="P168" s="14">
        <v>27</v>
      </c>
      <c r="Q168" s="15">
        <f t="shared" si="38"/>
        <v>1928</v>
      </c>
      <c r="R168" s="16">
        <v>2030</v>
      </c>
      <c r="S168" s="17">
        <f t="shared" si="39"/>
        <v>2090</v>
      </c>
      <c r="T168" s="17">
        <f t="shared" si="42"/>
        <v>2095</v>
      </c>
      <c r="U168" s="17">
        <f t="shared" si="40"/>
        <v>1990</v>
      </c>
      <c r="V168" s="18">
        <v>16</v>
      </c>
      <c r="W168" s="18">
        <v>12</v>
      </c>
      <c r="X168" s="21">
        <v>15</v>
      </c>
    </row>
    <row r="169" spans="2:24" x14ac:dyDescent="0.45">
      <c r="B169" s="27">
        <v>167</v>
      </c>
      <c r="C169" s="10">
        <v>1920</v>
      </c>
      <c r="D169" s="11">
        <v>8</v>
      </c>
      <c r="E169" s="11">
        <v>4</v>
      </c>
      <c r="F169" s="11">
        <v>8</v>
      </c>
      <c r="G169" s="11">
        <v>48</v>
      </c>
      <c r="H169" s="11"/>
      <c r="I169" s="10">
        <v>70</v>
      </c>
      <c r="J169" s="10"/>
      <c r="K169" s="10">
        <v>12</v>
      </c>
      <c r="L169" s="12">
        <v>10</v>
      </c>
      <c r="M169" s="13" t="s">
        <v>2044</v>
      </c>
      <c r="N169" s="13">
        <f t="shared" si="41"/>
        <v>177</v>
      </c>
      <c r="O169" s="13">
        <v>48</v>
      </c>
      <c r="P169" s="14">
        <v>27</v>
      </c>
      <c r="Q169" s="15">
        <f t="shared" si="38"/>
        <v>1938</v>
      </c>
      <c r="R169" s="16">
        <v>2040</v>
      </c>
      <c r="S169" s="17">
        <f t="shared" si="39"/>
        <v>2100</v>
      </c>
      <c r="T169" s="17">
        <f t="shared" si="42"/>
        <v>2105</v>
      </c>
      <c r="U169" s="17">
        <f t="shared" si="40"/>
        <v>2000</v>
      </c>
      <c r="V169" s="18">
        <v>16</v>
      </c>
      <c r="W169" s="18">
        <v>12</v>
      </c>
      <c r="X169" s="21">
        <v>15</v>
      </c>
    </row>
    <row r="170" spans="2:24" x14ac:dyDescent="0.45">
      <c r="B170" s="28">
        <v>168</v>
      </c>
      <c r="C170" s="10">
        <v>1930</v>
      </c>
      <c r="D170" s="11">
        <v>8</v>
      </c>
      <c r="E170" s="11">
        <v>4</v>
      </c>
      <c r="F170" s="11">
        <v>8</v>
      </c>
      <c r="G170" s="11">
        <v>48</v>
      </c>
      <c r="H170" s="11"/>
      <c r="I170" s="10">
        <v>70</v>
      </c>
      <c r="J170" s="10"/>
      <c r="K170" s="10">
        <v>12</v>
      </c>
      <c r="L170" s="12">
        <v>10</v>
      </c>
      <c r="M170" s="13" t="s">
        <v>2044</v>
      </c>
      <c r="N170" s="13">
        <f t="shared" si="41"/>
        <v>177</v>
      </c>
      <c r="O170" s="13">
        <v>48</v>
      </c>
      <c r="P170" s="14">
        <v>27</v>
      </c>
      <c r="Q170" s="15">
        <f t="shared" si="38"/>
        <v>1948</v>
      </c>
      <c r="R170" s="16">
        <v>2050</v>
      </c>
      <c r="S170" s="17">
        <f t="shared" si="39"/>
        <v>2110</v>
      </c>
      <c r="T170" s="17">
        <f t="shared" si="42"/>
        <v>2115</v>
      </c>
      <c r="U170" s="17">
        <f t="shared" si="40"/>
        <v>2010</v>
      </c>
      <c r="V170" s="18">
        <v>16</v>
      </c>
      <c r="W170" s="18">
        <v>12</v>
      </c>
      <c r="X170" s="21">
        <v>15</v>
      </c>
    </row>
    <row r="171" spans="2:24" x14ac:dyDescent="0.45">
      <c r="B171" s="27">
        <v>169</v>
      </c>
      <c r="C171" s="10">
        <v>1940</v>
      </c>
      <c r="D171" s="11">
        <v>8</v>
      </c>
      <c r="E171" s="11">
        <v>4</v>
      </c>
      <c r="F171" s="11">
        <v>8</v>
      </c>
      <c r="G171" s="11">
        <v>48</v>
      </c>
      <c r="H171" s="11"/>
      <c r="I171" s="10">
        <v>70</v>
      </c>
      <c r="J171" s="10"/>
      <c r="K171" s="10">
        <v>12</v>
      </c>
      <c r="L171" s="12">
        <v>10</v>
      </c>
      <c r="M171" s="13" t="s">
        <v>2044</v>
      </c>
      <c r="N171" s="13">
        <f t="shared" si="41"/>
        <v>177</v>
      </c>
      <c r="O171" s="13">
        <v>48</v>
      </c>
      <c r="P171" s="14">
        <v>27</v>
      </c>
      <c r="Q171" s="15">
        <f t="shared" si="38"/>
        <v>1958</v>
      </c>
      <c r="R171" s="16">
        <v>2060</v>
      </c>
      <c r="S171" s="17">
        <f t="shared" si="39"/>
        <v>2120</v>
      </c>
      <c r="T171" s="17">
        <f t="shared" si="42"/>
        <v>2125</v>
      </c>
      <c r="U171" s="17">
        <f t="shared" si="40"/>
        <v>2020</v>
      </c>
      <c r="V171" s="18">
        <v>16</v>
      </c>
      <c r="W171" s="18">
        <v>12</v>
      </c>
      <c r="X171" s="21">
        <v>15</v>
      </c>
    </row>
    <row r="172" spans="2:24" x14ac:dyDescent="0.45">
      <c r="B172" s="27">
        <v>170</v>
      </c>
      <c r="C172" s="10">
        <v>1950</v>
      </c>
      <c r="D172" s="11">
        <v>8</v>
      </c>
      <c r="E172" s="11">
        <v>4</v>
      </c>
      <c r="F172" s="11">
        <v>8</v>
      </c>
      <c r="G172" s="11">
        <v>48</v>
      </c>
      <c r="H172" s="11"/>
      <c r="I172" s="10">
        <v>70</v>
      </c>
      <c r="J172" s="10"/>
      <c r="K172" s="10">
        <v>12</v>
      </c>
      <c r="L172" s="12">
        <v>10</v>
      </c>
      <c r="M172" s="13" t="s">
        <v>2044</v>
      </c>
      <c r="N172" s="13">
        <f t="shared" si="41"/>
        <v>177</v>
      </c>
      <c r="O172" s="13">
        <v>48</v>
      </c>
      <c r="P172" s="14">
        <v>27</v>
      </c>
      <c r="Q172" s="15">
        <f t="shared" si="38"/>
        <v>1968</v>
      </c>
      <c r="R172" s="16">
        <v>2070</v>
      </c>
      <c r="S172" s="17">
        <f t="shared" si="39"/>
        <v>2130</v>
      </c>
      <c r="T172" s="17">
        <f t="shared" si="42"/>
        <v>2135</v>
      </c>
      <c r="U172" s="17">
        <f>Q172+62</f>
        <v>2030</v>
      </c>
      <c r="V172" s="18">
        <v>16</v>
      </c>
      <c r="W172" s="18">
        <v>12</v>
      </c>
      <c r="X172" s="21">
        <v>15</v>
      </c>
    </row>
    <row r="173" spans="2:24" x14ac:dyDescent="0.45">
      <c r="B173" s="28">
        <v>171</v>
      </c>
      <c r="C173" s="10">
        <v>1960</v>
      </c>
      <c r="D173" s="11">
        <v>8</v>
      </c>
      <c r="E173" s="11">
        <v>4</v>
      </c>
      <c r="F173" s="11">
        <v>8</v>
      </c>
      <c r="G173" s="11">
        <v>48</v>
      </c>
      <c r="H173" s="11"/>
      <c r="I173" s="10">
        <v>70</v>
      </c>
      <c r="J173" s="10"/>
      <c r="K173" s="10">
        <v>12</v>
      </c>
      <c r="L173" s="12">
        <v>10</v>
      </c>
      <c r="M173" s="13" t="s">
        <v>2044</v>
      </c>
      <c r="N173" s="13">
        <f t="shared" si="41"/>
        <v>177</v>
      </c>
      <c r="O173" s="13">
        <v>48</v>
      </c>
      <c r="P173" s="14">
        <v>27</v>
      </c>
      <c r="Q173" s="15">
        <f t="shared" si="38"/>
        <v>1978</v>
      </c>
      <c r="R173" s="16">
        <v>2080</v>
      </c>
      <c r="S173" s="17">
        <f t="shared" si="39"/>
        <v>2140</v>
      </c>
      <c r="T173" s="17">
        <f t="shared" si="42"/>
        <v>2145</v>
      </c>
      <c r="U173" s="17">
        <f t="shared" si="40"/>
        <v>2040</v>
      </c>
      <c r="V173" s="18">
        <v>16</v>
      </c>
      <c r="W173" s="18">
        <v>12</v>
      </c>
      <c r="X173" s="21">
        <v>15</v>
      </c>
    </row>
    <row r="174" spans="2:24" x14ac:dyDescent="0.45">
      <c r="B174" s="27">
        <v>172</v>
      </c>
      <c r="C174" s="10">
        <v>1970</v>
      </c>
      <c r="D174" s="11">
        <v>8</v>
      </c>
      <c r="E174" s="11">
        <v>4</v>
      </c>
      <c r="F174" s="11">
        <v>8</v>
      </c>
      <c r="G174" s="11">
        <v>48</v>
      </c>
      <c r="H174" s="11"/>
      <c r="I174" s="10">
        <v>70</v>
      </c>
      <c r="J174" s="10"/>
      <c r="K174" s="10">
        <v>12</v>
      </c>
      <c r="L174" s="12">
        <v>10</v>
      </c>
      <c r="M174" s="13" t="s">
        <v>2044</v>
      </c>
      <c r="N174" s="13">
        <f t="shared" si="41"/>
        <v>177</v>
      </c>
      <c r="O174" s="13">
        <v>48</v>
      </c>
      <c r="P174" s="14">
        <v>27</v>
      </c>
      <c r="Q174" s="15">
        <f t="shared" si="38"/>
        <v>1988</v>
      </c>
      <c r="R174" s="16">
        <v>2090</v>
      </c>
      <c r="S174" s="17">
        <f t="shared" si="39"/>
        <v>2150</v>
      </c>
      <c r="T174" s="17">
        <f t="shared" si="42"/>
        <v>2155</v>
      </c>
      <c r="U174" s="17">
        <f t="shared" si="40"/>
        <v>2050</v>
      </c>
      <c r="V174" s="18">
        <v>16</v>
      </c>
      <c r="W174" s="18">
        <v>12</v>
      </c>
      <c r="X174" s="21">
        <v>15</v>
      </c>
    </row>
    <row r="175" spans="2:24" x14ac:dyDescent="0.45">
      <c r="B175" s="28">
        <v>173</v>
      </c>
      <c r="C175" s="10">
        <v>1980</v>
      </c>
      <c r="D175" s="11">
        <v>8</v>
      </c>
      <c r="E175" s="11">
        <v>4</v>
      </c>
      <c r="F175" s="11">
        <v>8</v>
      </c>
      <c r="G175" s="11">
        <v>48</v>
      </c>
      <c r="H175" s="11"/>
      <c r="I175" s="10">
        <v>70</v>
      </c>
      <c r="J175" s="10"/>
      <c r="K175" s="10">
        <v>12</v>
      </c>
      <c r="L175" s="12">
        <v>10</v>
      </c>
      <c r="M175" s="13" t="s">
        <v>2044</v>
      </c>
      <c r="N175" s="13">
        <f t="shared" si="41"/>
        <v>177</v>
      </c>
      <c r="O175" s="13">
        <v>48</v>
      </c>
      <c r="P175" s="14">
        <v>27</v>
      </c>
      <c r="Q175" s="15">
        <f t="shared" si="38"/>
        <v>1998</v>
      </c>
      <c r="R175" s="16">
        <v>2100</v>
      </c>
      <c r="S175" s="17">
        <f t="shared" si="39"/>
        <v>2160</v>
      </c>
      <c r="T175" s="17">
        <f t="shared" si="42"/>
        <v>2165</v>
      </c>
      <c r="U175" s="17">
        <f t="shared" si="40"/>
        <v>2060</v>
      </c>
      <c r="V175" s="18">
        <v>16</v>
      </c>
      <c r="W175" s="18">
        <v>12</v>
      </c>
      <c r="X175" s="21">
        <v>15</v>
      </c>
    </row>
    <row r="176" spans="2:24" x14ac:dyDescent="0.45">
      <c r="B176" s="27">
        <v>174</v>
      </c>
      <c r="C176" s="10">
        <v>1990</v>
      </c>
      <c r="D176" s="11">
        <v>8</v>
      </c>
      <c r="E176" s="11">
        <v>4</v>
      </c>
      <c r="F176" s="11">
        <v>8</v>
      </c>
      <c r="G176" s="11">
        <v>48</v>
      </c>
      <c r="H176" s="11"/>
      <c r="I176" s="10">
        <v>70</v>
      </c>
      <c r="J176" s="10"/>
      <c r="K176" s="10">
        <v>12</v>
      </c>
      <c r="L176" s="12">
        <v>10</v>
      </c>
      <c r="M176" s="13" t="s">
        <v>2044</v>
      </c>
      <c r="N176" s="13">
        <f t="shared" si="41"/>
        <v>177</v>
      </c>
      <c r="O176" s="13">
        <v>48</v>
      </c>
      <c r="P176" s="14">
        <v>27</v>
      </c>
      <c r="Q176" s="15">
        <f t="shared" si="38"/>
        <v>2008</v>
      </c>
      <c r="R176" s="16">
        <v>2110</v>
      </c>
      <c r="S176" s="17">
        <f t="shared" si="39"/>
        <v>2170</v>
      </c>
      <c r="T176" s="17">
        <f t="shared" si="42"/>
        <v>2175</v>
      </c>
      <c r="U176" s="17">
        <f t="shared" si="40"/>
        <v>2070</v>
      </c>
      <c r="V176" s="18">
        <v>16</v>
      </c>
      <c r="W176" s="18">
        <v>12</v>
      </c>
      <c r="X176" s="21">
        <v>15</v>
      </c>
    </row>
    <row r="177" spans="2:24" x14ac:dyDescent="0.45">
      <c r="B177" s="27">
        <v>175</v>
      </c>
      <c r="C177" s="10">
        <v>2000</v>
      </c>
      <c r="D177" s="11">
        <v>8</v>
      </c>
      <c r="E177" s="11">
        <v>4</v>
      </c>
      <c r="F177" s="11">
        <v>8</v>
      </c>
      <c r="G177" s="11">
        <v>48</v>
      </c>
      <c r="H177" s="11"/>
      <c r="I177" s="10">
        <v>70</v>
      </c>
      <c r="J177" s="10"/>
      <c r="K177" s="10">
        <v>12</v>
      </c>
      <c r="L177" s="12">
        <v>10</v>
      </c>
      <c r="M177" s="13" t="s">
        <v>2044</v>
      </c>
      <c r="N177" s="13">
        <f t="shared" si="41"/>
        <v>177</v>
      </c>
      <c r="O177" s="13">
        <v>48</v>
      </c>
      <c r="P177" s="14">
        <v>27</v>
      </c>
      <c r="Q177" s="15">
        <f t="shared" si="38"/>
        <v>2018</v>
      </c>
      <c r="R177" s="16">
        <v>2120</v>
      </c>
      <c r="S177" s="17">
        <f t="shared" si="39"/>
        <v>2180</v>
      </c>
      <c r="T177" s="17">
        <f t="shared" si="42"/>
        <v>2185</v>
      </c>
      <c r="U177" s="17">
        <f t="shared" si="40"/>
        <v>2080</v>
      </c>
      <c r="V177" s="18">
        <v>16</v>
      </c>
      <c r="W177" s="18">
        <v>12</v>
      </c>
      <c r="X177" s="21">
        <v>15</v>
      </c>
    </row>
    <row r="178" spans="2:24" x14ac:dyDescent="0.45">
      <c r="B178" s="28">
        <v>176</v>
      </c>
      <c r="C178" s="10">
        <v>2010</v>
      </c>
      <c r="D178" s="11">
        <v>10</v>
      </c>
      <c r="E178" s="11">
        <v>4</v>
      </c>
      <c r="F178" s="11">
        <v>10</v>
      </c>
      <c r="G178" s="11">
        <v>50</v>
      </c>
      <c r="H178" s="11"/>
      <c r="I178" s="10">
        <v>75</v>
      </c>
      <c r="J178" s="10"/>
      <c r="K178" s="10">
        <v>12</v>
      </c>
      <c r="L178" s="12">
        <v>10</v>
      </c>
      <c r="M178" s="13" t="s">
        <v>2044</v>
      </c>
      <c r="N178" s="13">
        <f t="shared" si="41"/>
        <v>184</v>
      </c>
      <c r="O178" s="13">
        <v>48</v>
      </c>
      <c r="P178" s="14">
        <v>27</v>
      </c>
      <c r="Q178" s="15">
        <f t="shared" ref="Q178:Q227" si="43">C178+(2*D178)+2</f>
        <v>2032</v>
      </c>
      <c r="R178" s="16">
        <v>2130</v>
      </c>
      <c r="S178" s="17">
        <f t="shared" si="39"/>
        <v>2190</v>
      </c>
      <c r="T178" s="17">
        <f t="shared" si="42"/>
        <v>2195</v>
      </c>
      <c r="U178" s="17">
        <f t="shared" ref="U178:U186" si="44">Q178+58</f>
        <v>2090</v>
      </c>
      <c r="V178" s="18">
        <v>16</v>
      </c>
      <c r="W178" s="18">
        <v>12</v>
      </c>
      <c r="X178" s="21">
        <v>15</v>
      </c>
    </row>
    <row r="179" spans="2:24" x14ac:dyDescent="0.45">
      <c r="B179" s="27">
        <v>177</v>
      </c>
      <c r="C179" s="10">
        <v>2020</v>
      </c>
      <c r="D179" s="11">
        <v>10</v>
      </c>
      <c r="E179" s="11">
        <v>4</v>
      </c>
      <c r="F179" s="11">
        <v>10</v>
      </c>
      <c r="G179" s="11">
        <v>50</v>
      </c>
      <c r="H179" s="11"/>
      <c r="I179" s="10">
        <v>75</v>
      </c>
      <c r="J179" s="10"/>
      <c r="K179" s="10">
        <v>12</v>
      </c>
      <c r="L179" s="12">
        <v>10</v>
      </c>
      <c r="M179" s="13" t="s">
        <v>2044</v>
      </c>
      <c r="N179" s="13">
        <f t="shared" si="41"/>
        <v>184</v>
      </c>
      <c r="O179" s="13">
        <v>52</v>
      </c>
      <c r="P179" s="14">
        <v>27</v>
      </c>
      <c r="Q179" s="15">
        <f t="shared" si="43"/>
        <v>2042</v>
      </c>
      <c r="R179" s="16">
        <v>2140</v>
      </c>
      <c r="S179" s="17">
        <f t="shared" si="39"/>
        <v>2200</v>
      </c>
      <c r="T179" s="17">
        <f t="shared" si="42"/>
        <v>2205</v>
      </c>
      <c r="U179" s="17">
        <f t="shared" si="44"/>
        <v>2100</v>
      </c>
      <c r="V179" s="18">
        <v>16</v>
      </c>
      <c r="W179" s="18">
        <v>12</v>
      </c>
      <c r="X179" s="21">
        <v>15</v>
      </c>
    </row>
    <row r="180" spans="2:24" x14ac:dyDescent="0.45">
      <c r="B180" s="28">
        <v>178</v>
      </c>
      <c r="C180" s="10">
        <v>2030</v>
      </c>
      <c r="D180" s="11">
        <v>10</v>
      </c>
      <c r="E180" s="11">
        <v>4</v>
      </c>
      <c r="F180" s="11">
        <v>10</v>
      </c>
      <c r="G180" s="11">
        <v>50</v>
      </c>
      <c r="H180" s="11"/>
      <c r="I180" s="10">
        <v>75</v>
      </c>
      <c r="J180" s="10"/>
      <c r="K180" s="10">
        <v>12</v>
      </c>
      <c r="L180" s="12">
        <v>10</v>
      </c>
      <c r="M180" s="13" t="s">
        <v>2044</v>
      </c>
      <c r="N180" s="13">
        <f t="shared" si="41"/>
        <v>184</v>
      </c>
      <c r="O180" s="13">
        <v>52</v>
      </c>
      <c r="P180" s="14">
        <v>27</v>
      </c>
      <c r="Q180" s="15">
        <f t="shared" si="43"/>
        <v>2052</v>
      </c>
      <c r="R180" s="16">
        <v>2150</v>
      </c>
      <c r="S180" s="17">
        <f t="shared" si="39"/>
        <v>2210</v>
      </c>
      <c r="T180" s="17">
        <f t="shared" si="42"/>
        <v>2215</v>
      </c>
      <c r="U180" s="17">
        <f t="shared" si="44"/>
        <v>2110</v>
      </c>
      <c r="V180" s="18">
        <v>16</v>
      </c>
      <c r="W180" s="18">
        <v>12</v>
      </c>
      <c r="X180" s="21">
        <v>15</v>
      </c>
    </row>
    <row r="181" spans="2:24" x14ac:dyDescent="0.45">
      <c r="B181" s="27">
        <v>179</v>
      </c>
      <c r="C181" s="10">
        <v>2040</v>
      </c>
      <c r="D181" s="11">
        <v>10</v>
      </c>
      <c r="E181" s="11">
        <v>4</v>
      </c>
      <c r="F181" s="11">
        <v>10</v>
      </c>
      <c r="G181" s="11">
        <v>50</v>
      </c>
      <c r="H181" s="11"/>
      <c r="I181" s="10">
        <v>75</v>
      </c>
      <c r="J181" s="10"/>
      <c r="K181" s="10">
        <v>12</v>
      </c>
      <c r="L181" s="12">
        <v>10</v>
      </c>
      <c r="M181" s="13" t="s">
        <v>2044</v>
      </c>
      <c r="N181" s="13">
        <f t="shared" si="41"/>
        <v>184</v>
      </c>
      <c r="O181" s="13">
        <v>52</v>
      </c>
      <c r="P181" s="14">
        <v>27</v>
      </c>
      <c r="Q181" s="15">
        <f t="shared" si="43"/>
        <v>2062</v>
      </c>
      <c r="R181" s="16">
        <v>2160</v>
      </c>
      <c r="S181" s="17">
        <f t="shared" si="39"/>
        <v>2220</v>
      </c>
      <c r="T181" s="17">
        <f t="shared" si="42"/>
        <v>2225</v>
      </c>
      <c r="U181" s="17">
        <f t="shared" si="44"/>
        <v>2120</v>
      </c>
      <c r="V181" s="18">
        <v>16</v>
      </c>
      <c r="W181" s="18">
        <v>12</v>
      </c>
      <c r="X181" s="21">
        <v>15</v>
      </c>
    </row>
    <row r="182" spans="2:24" x14ac:dyDescent="0.45">
      <c r="B182" s="27">
        <v>180</v>
      </c>
      <c r="C182" s="10">
        <v>2050</v>
      </c>
      <c r="D182" s="11">
        <v>10</v>
      </c>
      <c r="E182" s="11">
        <v>4</v>
      </c>
      <c r="F182" s="11">
        <v>10</v>
      </c>
      <c r="G182" s="11">
        <v>50</v>
      </c>
      <c r="H182" s="11"/>
      <c r="I182" s="10">
        <v>75</v>
      </c>
      <c r="J182" s="10"/>
      <c r="K182" s="10">
        <v>12</v>
      </c>
      <c r="L182" s="12">
        <v>10</v>
      </c>
      <c r="M182" s="13" t="s">
        <v>2044</v>
      </c>
      <c r="N182" s="13">
        <f t="shared" si="41"/>
        <v>184</v>
      </c>
      <c r="O182" s="13">
        <v>52</v>
      </c>
      <c r="P182" s="14">
        <v>27</v>
      </c>
      <c r="Q182" s="15">
        <f t="shared" si="43"/>
        <v>2072</v>
      </c>
      <c r="R182" s="16">
        <v>2170</v>
      </c>
      <c r="S182" s="17">
        <f t="shared" si="39"/>
        <v>2230</v>
      </c>
      <c r="T182" s="17">
        <f t="shared" si="42"/>
        <v>2235</v>
      </c>
      <c r="U182" s="17">
        <f t="shared" si="44"/>
        <v>2130</v>
      </c>
      <c r="V182" s="18">
        <v>16</v>
      </c>
      <c r="W182" s="18">
        <v>12</v>
      </c>
      <c r="X182" s="21">
        <v>15</v>
      </c>
    </row>
    <row r="183" spans="2:24" x14ac:dyDescent="0.45">
      <c r="B183" s="28">
        <v>181</v>
      </c>
      <c r="C183" s="10">
        <v>2060</v>
      </c>
      <c r="D183" s="11">
        <v>10</v>
      </c>
      <c r="E183" s="11">
        <v>4</v>
      </c>
      <c r="F183" s="11">
        <v>10</v>
      </c>
      <c r="G183" s="11">
        <v>50</v>
      </c>
      <c r="H183" s="11"/>
      <c r="I183" s="10">
        <v>75</v>
      </c>
      <c r="J183" s="10"/>
      <c r="K183" s="10">
        <v>12</v>
      </c>
      <c r="L183" s="12">
        <v>10</v>
      </c>
      <c r="M183" s="13" t="s">
        <v>2044</v>
      </c>
      <c r="N183" s="13">
        <f t="shared" si="41"/>
        <v>184</v>
      </c>
      <c r="O183" s="13">
        <v>52</v>
      </c>
      <c r="P183" s="14">
        <v>27</v>
      </c>
      <c r="Q183" s="15">
        <f t="shared" si="43"/>
        <v>2082</v>
      </c>
      <c r="R183" s="16">
        <v>2180</v>
      </c>
      <c r="S183" s="17">
        <f t="shared" si="39"/>
        <v>2240</v>
      </c>
      <c r="T183" s="17">
        <f t="shared" si="42"/>
        <v>2245</v>
      </c>
      <c r="U183" s="17">
        <f t="shared" si="44"/>
        <v>2140</v>
      </c>
      <c r="V183" s="18">
        <v>16</v>
      </c>
      <c r="W183" s="18">
        <v>12</v>
      </c>
      <c r="X183" s="21">
        <v>15</v>
      </c>
    </row>
    <row r="184" spans="2:24" x14ac:dyDescent="0.45">
      <c r="B184" s="27">
        <v>182</v>
      </c>
      <c r="C184" s="10">
        <v>2070</v>
      </c>
      <c r="D184" s="11">
        <v>10</v>
      </c>
      <c r="E184" s="11">
        <v>4</v>
      </c>
      <c r="F184" s="11">
        <v>10</v>
      </c>
      <c r="G184" s="11">
        <v>50</v>
      </c>
      <c r="H184" s="11"/>
      <c r="I184" s="10">
        <v>75</v>
      </c>
      <c r="J184" s="10"/>
      <c r="K184" s="10">
        <v>12</v>
      </c>
      <c r="L184" s="12">
        <v>10</v>
      </c>
      <c r="M184" s="13" t="s">
        <v>2044</v>
      </c>
      <c r="N184" s="13">
        <f t="shared" si="41"/>
        <v>184</v>
      </c>
      <c r="O184" s="13">
        <v>52</v>
      </c>
      <c r="P184" s="14">
        <v>27</v>
      </c>
      <c r="Q184" s="15">
        <f t="shared" si="43"/>
        <v>2092</v>
      </c>
      <c r="R184" s="16">
        <v>2190</v>
      </c>
      <c r="S184" s="17">
        <f t="shared" si="39"/>
        <v>2250</v>
      </c>
      <c r="T184" s="17">
        <f t="shared" si="42"/>
        <v>2255</v>
      </c>
      <c r="U184" s="17">
        <f t="shared" si="44"/>
        <v>2150</v>
      </c>
      <c r="V184" s="18">
        <v>16</v>
      </c>
      <c r="W184" s="18">
        <v>12</v>
      </c>
      <c r="X184" s="21">
        <v>15</v>
      </c>
    </row>
    <row r="185" spans="2:24" x14ac:dyDescent="0.45">
      <c r="B185" s="28">
        <v>183</v>
      </c>
      <c r="C185" s="10">
        <v>2080</v>
      </c>
      <c r="D185" s="11">
        <v>10</v>
      </c>
      <c r="E185" s="11">
        <v>4</v>
      </c>
      <c r="F185" s="11">
        <v>10</v>
      </c>
      <c r="G185" s="11">
        <v>50</v>
      </c>
      <c r="H185" s="11"/>
      <c r="I185" s="10">
        <v>75</v>
      </c>
      <c r="J185" s="10"/>
      <c r="K185" s="10">
        <v>12</v>
      </c>
      <c r="L185" s="12">
        <v>10</v>
      </c>
      <c r="M185" s="13" t="s">
        <v>2044</v>
      </c>
      <c r="N185" s="13">
        <f t="shared" si="41"/>
        <v>184</v>
      </c>
      <c r="O185" s="13">
        <v>52</v>
      </c>
      <c r="P185" s="14">
        <v>27</v>
      </c>
      <c r="Q185" s="15">
        <f t="shared" si="43"/>
        <v>2102</v>
      </c>
      <c r="R185" s="16">
        <v>2200</v>
      </c>
      <c r="S185" s="17">
        <f t="shared" si="39"/>
        <v>2260</v>
      </c>
      <c r="T185" s="17">
        <f t="shared" si="42"/>
        <v>2265</v>
      </c>
      <c r="U185" s="17">
        <f t="shared" si="44"/>
        <v>2160</v>
      </c>
      <c r="V185" s="18">
        <v>16</v>
      </c>
      <c r="W185" s="18">
        <v>12</v>
      </c>
      <c r="X185" s="21">
        <v>15</v>
      </c>
    </row>
    <row r="186" spans="2:24" x14ac:dyDescent="0.45">
      <c r="B186" s="27">
        <v>184</v>
      </c>
      <c r="C186" s="10">
        <v>2090</v>
      </c>
      <c r="D186" s="11">
        <v>10</v>
      </c>
      <c r="E186" s="11">
        <v>4</v>
      </c>
      <c r="F186" s="11">
        <v>10</v>
      </c>
      <c r="G186" s="11">
        <v>50</v>
      </c>
      <c r="H186" s="11"/>
      <c r="I186" s="10">
        <v>75</v>
      </c>
      <c r="J186" s="10"/>
      <c r="K186" s="10">
        <v>12</v>
      </c>
      <c r="L186" s="12">
        <v>10</v>
      </c>
      <c r="M186" s="13" t="s">
        <v>2044</v>
      </c>
      <c r="N186" s="13">
        <f t="shared" si="41"/>
        <v>184</v>
      </c>
      <c r="O186" s="13">
        <v>52</v>
      </c>
      <c r="P186" s="14">
        <v>27</v>
      </c>
      <c r="Q186" s="15">
        <f t="shared" si="43"/>
        <v>2112</v>
      </c>
      <c r="R186" s="16">
        <v>2210</v>
      </c>
      <c r="S186" s="17">
        <f t="shared" si="39"/>
        <v>2270</v>
      </c>
      <c r="T186" s="17">
        <f t="shared" si="42"/>
        <v>2275</v>
      </c>
      <c r="U186" s="17">
        <f t="shared" si="44"/>
        <v>2170</v>
      </c>
      <c r="V186" s="18">
        <v>16</v>
      </c>
      <c r="W186" s="18">
        <v>12</v>
      </c>
      <c r="X186" s="21">
        <v>15</v>
      </c>
    </row>
    <row r="187" spans="2:24" x14ac:dyDescent="0.45">
      <c r="B187" s="27">
        <v>185</v>
      </c>
      <c r="C187" s="10">
        <v>2100</v>
      </c>
      <c r="D187" s="11">
        <v>10</v>
      </c>
      <c r="E187" s="11">
        <v>4</v>
      </c>
      <c r="F187" s="11">
        <v>10</v>
      </c>
      <c r="G187" s="11">
        <v>50</v>
      </c>
      <c r="H187" s="11"/>
      <c r="I187" s="10">
        <v>75</v>
      </c>
      <c r="J187" s="10"/>
      <c r="K187" s="10">
        <v>12</v>
      </c>
      <c r="L187" s="12">
        <v>10</v>
      </c>
      <c r="M187" s="13" t="s">
        <v>2109</v>
      </c>
      <c r="N187" s="13">
        <f t="shared" si="41"/>
        <v>187</v>
      </c>
      <c r="O187" s="13">
        <v>52</v>
      </c>
      <c r="P187" s="14">
        <v>30</v>
      </c>
      <c r="Q187" s="15">
        <f t="shared" si="43"/>
        <v>2122</v>
      </c>
      <c r="R187" s="16">
        <v>2225</v>
      </c>
      <c r="S187" s="17">
        <f t="shared" si="39"/>
        <v>2285</v>
      </c>
      <c r="T187" s="17">
        <f t="shared" si="42"/>
        <v>2290</v>
      </c>
      <c r="U187" s="17">
        <f>Q187+63</f>
        <v>2185</v>
      </c>
      <c r="V187" s="18">
        <v>16</v>
      </c>
      <c r="W187" s="18">
        <v>12</v>
      </c>
      <c r="X187" s="21">
        <v>15</v>
      </c>
    </row>
    <row r="188" spans="2:24" x14ac:dyDescent="0.45">
      <c r="B188" s="28">
        <v>186</v>
      </c>
      <c r="C188" s="10">
        <v>2110</v>
      </c>
      <c r="D188" s="11">
        <v>10</v>
      </c>
      <c r="E188" s="11">
        <v>4</v>
      </c>
      <c r="F188" s="11">
        <v>10</v>
      </c>
      <c r="G188" s="11">
        <v>50</v>
      </c>
      <c r="H188" s="11"/>
      <c r="I188" s="10">
        <v>75</v>
      </c>
      <c r="J188" s="10"/>
      <c r="K188" s="10">
        <v>12</v>
      </c>
      <c r="L188" s="12">
        <v>10</v>
      </c>
      <c r="M188" s="13" t="s">
        <v>2109</v>
      </c>
      <c r="N188" s="13">
        <f t="shared" si="41"/>
        <v>187</v>
      </c>
      <c r="O188" s="13">
        <v>52</v>
      </c>
      <c r="P188" s="14">
        <v>30</v>
      </c>
      <c r="Q188" s="15">
        <f t="shared" si="43"/>
        <v>2132</v>
      </c>
      <c r="R188" s="16">
        <v>2235</v>
      </c>
      <c r="S188" s="17">
        <f t="shared" si="39"/>
        <v>2295</v>
      </c>
      <c r="T188" s="17">
        <f t="shared" si="42"/>
        <v>2300</v>
      </c>
      <c r="U188" s="17">
        <f t="shared" ref="U188:U227" si="45">Q188+63</f>
        <v>2195</v>
      </c>
      <c r="V188" s="18">
        <v>16</v>
      </c>
      <c r="W188" s="18">
        <v>12</v>
      </c>
      <c r="X188" s="21">
        <v>15</v>
      </c>
    </row>
    <row r="189" spans="2:24" x14ac:dyDescent="0.45">
      <c r="B189" s="27">
        <v>187</v>
      </c>
      <c r="C189" s="10">
        <v>2120</v>
      </c>
      <c r="D189" s="11">
        <v>10</v>
      </c>
      <c r="E189" s="11">
        <v>4</v>
      </c>
      <c r="F189" s="11">
        <v>10</v>
      </c>
      <c r="G189" s="11">
        <v>50</v>
      </c>
      <c r="H189" s="11"/>
      <c r="I189" s="10">
        <v>75</v>
      </c>
      <c r="J189" s="10"/>
      <c r="K189" s="10">
        <v>12</v>
      </c>
      <c r="L189" s="12">
        <v>10</v>
      </c>
      <c r="M189" s="13" t="s">
        <v>2109</v>
      </c>
      <c r="N189" s="13">
        <f t="shared" si="41"/>
        <v>187</v>
      </c>
      <c r="O189" s="13">
        <v>52</v>
      </c>
      <c r="P189" s="14">
        <v>30</v>
      </c>
      <c r="Q189" s="15">
        <f t="shared" si="43"/>
        <v>2142</v>
      </c>
      <c r="R189" s="16">
        <v>2245</v>
      </c>
      <c r="S189" s="17">
        <f t="shared" si="39"/>
        <v>2305</v>
      </c>
      <c r="T189" s="17">
        <f t="shared" si="42"/>
        <v>2310</v>
      </c>
      <c r="U189" s="17">
        <f t="shared" si="45"/>
        <v>2205</v>
      </c>
      <c r="V189" s="18">
        <v>16</v>
      </c>
      <c r="W189" s="18">
        <v>12</v>
      </c>
      <c r="X189" s="21">
        <v>15</v>
      </c>
    </row>
    <row r="190" spans="2:24" x14ac:dyDescent="0.45">
      <c r="B190" s="28">
        <v>188</v>
      </c>
      <c r="C190" s="10">
        <v>2130</v>
      </c>
      <c r="D190" s="11">
        <v>10</v>
      </c>
      <c r="E190" s="11">
        <v>4</v>
      </c>
      <c r="F190" s="11">
        <v>10</v>
      </c>
      <c r="G190" s="11">
        <v>50</v>
      </c>
      <c r="H190" s="11"/>
      <c r="I190" s="10">
        <v>75</v>
      </c>
      <c r="J190" s="10"/>
      <c r="K190" s="10">
        <v>12</v>
      </c>
      <c r="L190" s="12">
        <v>10</v>
      </c>
      <c r="M190" s="13" t="s">
        <v>2109</v>
      </c>
      <c r="N190" s="13">
        <f t="shared" si="41"/>
        <v>187</v>
      </c>
      <c r="O190" s="13">
        <v>52</v>
      </c>
      <c r="P190" s="14">
        <v>30</v>
      </c>
      <c r="Q190" s="15">
        <f t="shared" si="43"/>
        <v>2152</v>
      </c>
      <c r="R190" s="16">
        <v>2255</v>
      </c>
      <c r="S190" s="17">
        <f t="shared" si="39"/>
        <v>2315</v>
      </c>
      <c r="T190" s="17">
        <f t="shared" si="42"/>
        <v>2320</v>
      </c>
      <c r="U190" s="17">
        <f t="shared" si="45"/>
        <v>2215</v>
      </c>
      <c r="V190" s="18">
        <v>16</v>
      </c>
      <c r="W190" s="18">
        <v>12</v>
      </c>
      <c r="X190" s="21">
        <v>15</v>
      </c>
    </row>
    <row r="191" spans="2:24" x14ac:dyDescent="0.45">
      <c r="B191" s="27">
        <v>189</v>
      </c>
      <c r="C191" s="10">
        <v>2140</v>
      </c>
      <c r="D191" s="11">
        <v>10</v>
      </c>
      <c r="E191" s="11">
        <v>4</v>
      </c>
      <c r="F191" s="11">
        <v>10</v>
      </c>
      <c r="G191" s="11">
        <v>50</v>
      </c>
      <c r="H191" s="11"/>
      <c r="I191" s="10">
        <v>75</v>
      </c>
      <c r="J191" s="10"/>
      <c r="K191" s="10">
        <v>12</v>
      </c>
      <c r="L191" s="12">
        <v>10</v>
      </c>
      <c r="M191" s="13" t="s">
        <v>2109</v>
      </c>
      <c r="N191" s="13">
        <f t="shared" si="41"/>
        <v>187</v>
      </c>
      <c r="O191" s="13">
        <v>52</v>
      </c>
      <c r="P191" s="14">
        <v>30</v>
      </c>
      <c r="Q191" s="15">
        <f t="shared" si="43"/>
        <v>2162</v>
      </c>
      <c r="R191" s="16">
        <v>2265</v>
      </c>
      <c r="S191" s="17">
        <f t="shared" si="39"/>
        <v>2325</v>
      </c>
      <c r="T191" s="17">
        <f t="shared" si="42"/>
        <v>2330</v>
      </c>
      <c r="U191" s="17">
        <f t="shared" si="45"/>
        <v>2225</v>
      </c>
      <c r="V191" s="18">
        <v>16</v>
      </c>
      <c r="W191" s="18">
        <v>12</v>
      </c>
      <c r="X191" s="21">
        <v>15</v>
      </c>
    </row>
    <row r="192" spans="2:24" x14ac:dyDescent="0.45">
      <c r="B192" s="27">
        <v>190</v>
      </c>
      <c r="C192" s="10">
        <v>2150</v>
      </c>
      <c r="D192" s="11">
        <v>10</v>
      </c>
      <c r="E192" s="11">
        <v>4</v>
      </c>
      <c r="F192" s="11">
        <v>10</v>
      </c>
      <c r="G192" s="11">
        <v>50</v>
      </c>
      <c r="H192" s="11"/>
      <c r="I192" s="10">
        <v>75</v>
      </c>
      <c r="J192" s="10"/>
      <c r="K192" s="10">
        <v>12</v>
      </c>
      <c r="L192" s="12">
        <v>10</v>
      </c>
      <c r="M192" s="13" t="s">
        <v>2109</v>
      </c>
      <c r="N192" s="13">
        <f t="shared" si="41"/>
        <v>187</v>
      </c>
      <c r="O192" s="13">
        <v>52</v>
      </c>
      <c r="P192" s="14">
        <v>30</v>
      </c>
      <c r="Q192" s="15">
        <f t="shared" si="43"/>
        <v>2172</v>
      </c>
      <c r="R192" s="16">
        <v>2275</v>
      </c>
      <c r="S192" s="17">
        <f t="shared" si="39"/>
        <v>2335</v>
      </c>
      <c r="T192" s="17">
        <f t="shared" si="42"/>
        <v>2340</v>
      </c>
      <c r="U192" s="17">
        <f t="shared" si="45"/>
        <v>2235</v>
      </c>
      <c r="V192" s="18">
        <v>16</v>
      </c>
      <c r="W192" s="18">
        <v>12</v>
      </c>
      <c r="X192" s="21">
        <v>15</v>
      </c>
    </row>
    <row r="193" spans="2:24" x14ac:dyDescent="0.45">
      <c r="B193" s="28">
        <v>191</v>
      </c>
      <c r="C193" s="10">
        <v>2160</v>
      </c>
      <c r="D193" s="11">
        <v>10</v>
      </c>
      <c r="E193" s="11">
        <v>4</v>
      </c>
      <c r="F193" s="11">
        <v>10</v>
      </c>
      <c r="G193" s="11">
        <v>55</v>
      </c>
      <c r="H193" s="11"/>
      <c r="I193" s="10">
        <v>75</v>
      </c>
      <c r="J193" s="10"/>
      <c r="K193" s="10">
        <v>12</v>
      </c>
      <c r="L193" s="12">
        <v>10</v>
      </c>
      <c r="M193" s="13" t="s">
        <v>2109</v>
      </c>
      <c r="N193" s="13">
        <f t="shared" si="41"/>
        <v>192</v>
      </c>
      <c r="O193" s="13">
        <v>52</v>
      </c>
      <c r="P193" s="14">
        <v>30</v>
      </c>
      <c r="Q193" s="15">
        <f t="shared" si="43"/>
        <v>2182</v>
      </c>
      <c r="R193" s="16">
        <v>2285</v>
      </c>
      <c r="S193" s="17">
        <f t="shared" si="39"/>
        <v>2345</v>
      </c>
      <c r="T193" s="17">
        <f t="shared" si="42"/>
        <v>2350</v>
      </c>
      <c r="U193" s="17">
        <f t="shared" si="45"/>
        <v>2245</v>
      </c>
      <c r="V193" s="18">
        <v>16</v>
      </c>
      <c r="W193" s="18">
        <v>12</v>
      </c>
      <c r="X193" s="21">
        <v>15</v>
      </c>
    </row>
    <row r="194" spans="2:24" x14ac:dyDescent="0.45">
      <c r="B194" s="27">
        <v>192</v>
      </c>
      <c r="C194" s="10">
        <v>2170</v>
      </c>
      <c r="D194" s="11">
        <v>10</v>
      </c>
      <c r="E194" s="11">
        <v>4</v>
      </c>
      <c r="F194" s="11">
        <v>10</v>
      </c>
      <c r="G194" s="11">
        <v>55</v>
      </c>
      <c r="H194" s="11"/>
      <c r="I194" s="10">
        <v>75</v>
      </c>
      <c r="J194" s="10"/>
      <c r="K194" s="10">
        <v>12</v>
      </c>
      <c r="L194" s="12">
        <v>10</v>
      </c>
      <c r="M194" s="13" t="s">
        <v>2109</v>
      </c>
      <c r="N194" s="13">
        <f t="shared" si="41"/>
        <v>192</v>
      </c>
      <c r="O194" s="13">
        <v>52</v>
      </c>
      <c r="P194" s="14">
        <v>30</v>
      </c>
      <c r="Q194" s="15">
        <f t="shared" si="43"/>
        <v>2192</v>
      </c>
      <c r="R194" s="16">
        <v>2295</v>
      </c>
      <c r="S194" s="17">
        <f t="shared" si="39"/>
        <v>2355</v>
      </c>
      <c r="T194" s="17">
        <f t="shared" si="42"/>
        <v>2360</v>
      </c>
      <c r="U194" s="17">
        <f t="shared" si="45"/>
        <v>2255</v>
      </c>
      <c r="V194" s="18">
        <v>16</v>
      </c>
      <c r="W194" s="18">
        <v>12</v>
      </c>
      <c r="X194" s="21">
        <v>15</v>
      </c>
    </row>
    <row r="195" spans="2:24" x14ac:dyDescent="0.45">
      <c r="B195" s="28">
        <v>193</v>
      </c>
      <c r="C195" s="10">
        <v>2180</v>
      </c>
      <c r="D195" s="11">
        <v>10</v>
      </c>
      <c r="E195" s="11">
        <v>4</v>
      </c>
      <c r="F195" s="11">
        <v>10</v>
      </c>
      <c r="G195" s="11">
        <v>55</v>
      </c>
      <c r="H195" s="11"/>
      <c r="I195" s="10">
        <v>75</v>
      </c>
      <c r="J195" s="10"/>
      <c r="K195" s="10">
        <v>12</v>
      </c>
      <c r="L195" s="12">
        <v>10</v>
      </c>
      <c r="M195" s="13" t="s">
        <v>2109</v>
      </c>
      <c r="N195" s="13">
        <f t="shared" si="41"/>
        <v>192</v>
      </c>
      <c r="O195" s="13">
        <v>52</v>
      </c>
      <c r="P195" s="14">
        <v>30</v>
      </c>
      <c r="Q195" s="15">
        <f t="shared" si="43"/>
        <v>2202</v>
      </c>
      <c r="R195" s="16">
        <v>2305</v>
      </c>
      <c r="S195" s="17">
        <f t="shared" ref="S195:S227" si="46">R195+60</f>
        <v>2365</v>
      </c>
      <c r="T195" s="17">
        <f t="shared" si="42"/>
        <v>2370</v>
      </c>
      <c r="U195" s="17">
        <f t="shared" si="45"/>
        <v>2265</v>
      </c>
      <c r="V195" s="18">
        <v>16</v>
      </c>
      <c r="W195" s="18">
        <v>12</v>
      </c>
      <c r="X195" s="21">
        <v>15</v>
      </c>
    </row>
    <row r="196" spans="2:24" x14ac:dyDescent="0.45">
      <c r="B196" s="27">
        <v>194</v>
      </c>
      <c r="C196" s="10">
        <v>2190</v>
      </c>
      <c r="D196" s="11">
        <v>10</v>
      </c>
      <c r="E196" s="11">
        <v>4</v>
      </c>
      <c r="F196" s="11">
        <v>10</v>
      </c>
      <c r="G196" s="11">
        <v>55</v>
      </c>
      <c r="H196" s="11"/>
      <c r="I196" s="10">
        <v>75</v>
      </c>
      <c r="J196" s="10"/>
      <c r="K196" s="10">
        <v>12</v>
      </c>
      <c r="L196" s="12">
        <v>10</v>
      </c>
      <c r="M196" s="13" t="s">
        <v>2109</v>
      </c>
      <c r="N196" s="13">
        <f t="shared" ref="N196:N227" si="47">G196+I196+15+P196+17</f>
        <v>192</v>
      </c>
      <c r="O196" s="13">
        <v>52</v>
      </c>
      <c r="P196" s="14">
        <v>30</v>
      </c>
      <c r="Q196" s="15">
        <f t="shared" si="43"/>
        <v>2212</v>
      </c>
      <c r="R196" s="16">
        <v>2315</v>
      </c>
      <c r="S196" s="17">
        <f t="shared" si="46"/>
        <v>2375</v>
      </c>
      <c r="T196" s="17">
        <f t="shared" ref="T196:T227" si="48">S196+5</f>
        <v>2380</v>
      </c>
      <c r="U196" s="17">
        <f t="shared" si="45"/>
        <v>2275</v>
      </c>
      <c r="V196" s="18">
        <v>16</v>
      </c>
      <c r="W196" s="18">
        <v>12</v>
      </c>
      <c r="X196" s="21">
        <v>15</v>
      </c>
    </row>
    <row r="197" spans="2:24" x14ac:dyDescent="0.45">
      <c r="B197" s="27">
        <v>195</v>
      </c>
      <c r="C197" s="10">
        <v>2200</v>
      </c>
      <c r="D197" s="11">
        <v>10</v>
      </c>
      <c r="E197" s="11">
        <v>4</v>
      </c>
      <c r="F197" s="11">
        <v>10</v>
      </c>
      <c r="G197" s="11">
        <v>55</v>
      </c>
      <c r="H197" s="11"/>
      <c r="I197" s="10">
        <v>75</v>
      </c>
      <c r="J197" s="10"/>
      <c r="K197" s="10">
        <v>12</v>
      </c>
      <c r="L197" s="12">
        <v>10</v>
      </c>
      <c r="M197" s="13" t="s">
        <v>2109</v>
      </c>
      <c r="N197" s="13">
        <f t="shared" si="47"/>
        <v>192</v>
      </c>
      <c r="O197" s="13">
        <v>56</v>
      </c>
      <c r="P197" s="14">
        <v>30</v>
      </c>
      <c r="Q197" s="15">
        <f t="shared" si="43"/>
        <v>2222</v>
      </c>
      <c r="R197" s="16">
        <v>2325</v>
      </c>
      <c r="S197" s="17">
        <f t="shared" si="46"/>
        <v>2385</v>
      </c>
      <c r="T197" s="17">
        <f t="shared" si="48"/>
        <v>2390</v>
      </c>
      <c r="U197" s="17">
        <f t="shared" si="45"/>
        <v>2285</v>
      </c>
      <c r="V197" s="18">
        <v>16</v>
      </c>
      <c r="W197" s="18">
        <v>12</v>
      </c>
      <c r="X197" s="21">
        <v>15</v>
      </c>
    </row>
    <row r="198" spans="2:24" x14ac:dyDescent="0.45">
      <c r="B198" s="28">
        <v>196</v>
      </c>
      <c r="C198" s="10">
        <v>2210</v>
      </c>
      <c r="D198" s="11">
        <v>10</v>
      </c>
      <c r="E198" s="11">
        <v>4</v>
      </c>
      <c r="F198" s="11">
        <v>10</v>
      </c>
      <c r="G198" s="11">
        <v>55</v>
      </c>
      <c r="H198" s="11"/>
      <c r="I198" s="10">
        <v>75</v>
      </c>
      <c r="J198" s="10"/>
      <c r="K198" s="10">
        <v>12</v>
      </c>
      <c r="L198" s="12">
        <v>10</v>
      </c>
      <c r="M198" s="13" t="s">
        <v>2109</v>
      </c>
      <c r="N198" s="13">
        <f t="shared" si="47"/>
        <v>192</v>
      </c>
      <c r="O198" s="13">
        <v>56</v>
      </c>
      <c r="P198" s="14">
        <v>30</v>
      </c>
      <c r="Q198" s="15">
        <f t="shared" si="43"/>
        <v>2232</v>
      </c>
      <c r="R198" s="16">
        <v>2335</v>
      </c>
      <c r="S198" s="17">
        <f t="shared" si="46"/>
        <v>2395</v>
      </c>
      <c r="T198" s="17">
        <f t="shared" si="48"/>
        <v>2400</v>
      </c>
      <c r="U198" s="17">
        <f t="shared" si="45"/>
        <v>2295</v>
      </c>
      <c r="V198" s="18">
        <v>16</v>
      </c>
      <c r="W198" s="18">
        <v>12</v>
      </c>
      <c r="X198" s="21">
        <v>15</v>
      </c>
    </row>
    <row r="199" spans="2:24" x14ac:dyDescent="0.45">
      <c r="B199" s="27">
        <v>197</v>
      </c>
      <c r="C199" s="10">
        <v>2220</v>
      </c>
      <c r="D199" s="11">
        <v>10</v>
      </c>
      <c r="E199" s="11">
        <v>4</v>
      </c>
      <c r="F199" s="11">
        <v>10</v>
      </c>
      <c r="G199" s="11">
        <v>55</v>
      </c>
      <c r="H199" s="11"/>
      <c r="I199" s="10">
        <v>75</v>
      </c>
      <c r="J199" s="10"/>
      <c r="K199" s="10">
        <v>12</v>
      </c>
      <c r="L199" s="12">
        <v>10</v>
      </c>
      <c r="M199" s="13" t="s">
        <v>2109</v>
      </c>
      <c r="N199" s="13">
        <f t="shared" si="47"/>
        <v>192</v>
      </c>
      <c r="O199" s="13">
        <v>56</v>
      </c>
      <c r="P199" s="14">
        <v>30</v>
      </c>
      <c r="Q199" s="15">
        <f t="shared" si="43"/>
        <v>2242</v>
      </c>
      <c r="R199" s="16">
        <v>2345</v>
      </c>
      <c r="S199" s="17">
        <f t="shared" si="46"/>
        <v>2405</v>
      </c>
      <c r="T199" s="17">
        <f t="shared" si="48"/>
        <v>2410</v>
      </c>
      <c r="U199" s="17">
        <f t="shared" si="45"/>
        <v>2305</v>
      </c>
      <c r="V199" s="18">
        <v>16</v>
      </c>
      <c r="W199" s="18">
        <v>12</v>
      </c>
      <c r="X199" s="21">
        <v>15</v>
      </c>
    </row>
    <row r="200" spans="2:24" x14ac:dyDescent="0.45">
      <c r="B200" s="28">
        <v>198</v>
      </c>
      <c r="C200" s="10">
        <v>2230</v>
      </c>
      <c r="D200" s="11">
        <v>10</v>
      </c>
      <c r="E200" s="11">
        <v>4</v>
      </c>
      <c r="F200" s="11">
        <v>10</v>
      </c>
      <c r="G200" s="11">
        <v>55</v>
      </c>
      <c r="H200" s="11"/>
      <c r="I200" s="10">
        <v>75</v>
      </c>
      <c r="J200" s="10"/>
      <c r="K200" s="10">
        <v>12</v>
      </c>
      <c r="L200" s="12">
        <v>10</v>
      </c>
      <c r="M200" s="13" t="s">
        <v>2109</v>
      </c>
      <c r="N200" s="13">
        <f t="shared" si="47"/>
        <v>192</v>
      </c>
      <c r="O200" s="13">
        <v>56</v>
      </c>
      <c r="P200" s="14">
        <v>30</v>
      </c>
      <c r="Q200" s="15">
        <f t="shared" si="43"/>
        <v>2252</v>
      </c>
      <c r="R200" s="16">
        <v>2355</v>
      </c>
      <c r="S200" s="17">
        <f t="shared" si="46"/>
        <v>2415</v>
      </c>
      <c r="T200" s="17">
        <f t="shared" si="48"/>
        <v>2420</v>
      </c>
      <c r="U200" s="17">
        <f>Q200+63</f>
        <v>2315</v>
      </c>
      <c r="V200" s="18">
        <v>16</v>
      </c>
      <c r="W200" s="18">
        <v>12</v>
      </c>
      <c r="X200" s="21">
        <v>15</v>
      </c>
    </row>
    <row r="201" spans="2:24" x14ac:dyDescent="0.45">
      <c r="B201" s="27">
        <v>199</v>
      </c>
      <c r="C201" s="10">
        <v>2240</v>
      </c>
      <c r="D201" s="11">
        <v>10</v>
      </c>
      <c r="E201" s="11">
        <v>4</v>
      </c>
      <c r="F201" s="11">
        <v>10</v>
      </c>
      <c r="G201" s="11">
        <v>55</v>
      </c>
      <c r="H201" s="11"/>
      <c r="I201" s="10">
        <v>75</v>
      </c>
      <c r="J201" s="10"/>
      <c r="K201" s="10">
        <v>12</v>
      </c>
      <c r="L201" s="12">
        <v>10</v>
      </c>
      <c r="M201" s="13" t="s">
        <v>2109</v>
      </c>
      <c r="N201" s="13">
        <f t="shared" si="47"/>
        <v>192</v>
      </c>
      <c r="O201" s="13">
        <v>56</v>
      </c>
      <c r="P201" s="14">
        <v>30</v>
      </c>
      <c r="Q201" s="15">
        <f t="shared" si="43"/>
        <v>2262</v>
      </c>
      <c r="R201" s="16">
        <v>2365</v>
      </c>
      <c r="S201" s="17">
        <f t="shared" si="46"/>
        <v>2425</v>
      </c>
      <c r="T201" s="17">
        <f t="shared" si="48"/>
        <v>2430</v>
      </c>
      <c r="U201" s="17">
        <f t="shared" si="45"/>
        <v>2325</v>
      </c>
      <c r="V201" s="18">
        <v>16</v>
      </c>
      <c r="W201" s="18">
        <v>12</v>
      </c>
      <c r="X201" s="21">
        <v>15</v>
      </c>
    </row>
    <row r="202" spans="2:24" x14ac:dyDescent="0.45">
      <c r="B202" s="27">
        <v>200</v>
      </c>
      <c r="C202" s="10">
        <v>2250</v>
      </c>
      <c r="D202" s="11">
        <v>10</v>
      </c>
      <c r="E202" s="11">
        <v>4</v>
      </c>
      <c r="F202" s="11">
        <v>10</v>
      </c>
      <c r="G202" s="11">
        <v>55</v>
      </c>
      <c r="H202" s="11"/>
      <c r="I202" s="10">
        <v>75</v>
      </c>
      <c r="J202" s="10"/>
      <c r="K202" s="10">
        <v>12</v>
      </c>
      <c r="L202" s="12">
        <v>10</v>
      </c>
      <c r="M202" s="13" t="s">
        <v>2109</v>
      </c>
      <c r="N202" s="13">
        <f t="shared" si="47"/>
        <v>192</v>
      </c>
      <c r="O202" s="13">
        <v>56</v>
      </c>
      <c r="P202" s="14">
        <v>30</v>
      </c>
      <c r="Q202" s="15">
        <f t="shared" si="43"/>
        <v>2272</v>
      </c>
      <c r="R202" s="16">
        <v>2375</v>
      </c>
      <c r="S202" s="17">
        <f t="shared" si="46"/>
        <v>2435</v>
      </c>
      <c r="T202" s="17">
        <f t="shared" si="48"/>
        <v>2440</v>
      </c>
      <c r="U202" s="17">
        <f t="shared" si="45"/>
        <v>2335</v>
      </c>
      <c r="V202" s="18">
        <v>16</v>
      </c>
      <c r="W202" s="18">
        <v>12</v>
      </c>
      <c r="X202" s="21">
        <v>15</v>
      </c>
    </row>
    <row r="203" spans="2:24" x14ac:dyDescent="0.45">
      <c r="B203" s="28">
        <v>201</v>
      </c>
      <c r="C203" s="10">
        <v>2260</v>
      </c>
      <c r="D203" s="11">
        <v>10</v>
      </c>
      <c r="E203" s="11">
        <v>4</v>
      </c>
      <c r="F203" s="11">
        <v>10</v>
      </c>
      <c r="G203" s="11">
        <v>55</v>
      </c>
      <c r="H203" s="11"/>
      <c r="I203" s="10">
        <v>75</v>
      </c>
      <c r="J203" s="10"/>
      <c r="K203" s="10">
        <v>12</v>
      </c>
      <c r="L203" s="12">
        <v>10</v>
      </c>
      <c r="M203" s="13" t="s">
        <v>2109</v>
      </c>
      <c r="N203" s="13">
        <f t="shared" si="47"/>
        <v>192</v>
      </c>
      <c r="O203" s="13">
        <v>56</v>
      </c>
      <c r="P203" s="14">
        <v>30</v>
      </c>
      <c r="Q203" s="15">
        <f t="shared" si="43"/>
        <v>2282</v>
      </c>
      <c r="R203" s="16">
        <v>2385</v>
      </c>
      <c r="S203" s="17">
        <f t="shared" si="46"/>
        <v>2445</v>
      </c>
      <c r="T203" s="17">
        <f t="shared" si="48"/>
        <v>2450</v>
      </c>
      <c r="U203" s="17">
        <f t="shared" si="45"/>
        <v>2345</v>
      </c>
      <c r="V203" s="18">
        <v>16</v>
      </c>
      <c r="W203" s="18">
        <v>12</v>
      </c>
      <c r="X203" s="21">
        <v>15</v>
      </c>
    </row>
    <row r="204" spans="2:24" x14ac:dyDescent="0.45">
      <c r="B204" s="27">
        <v>202</v>
      </c>
      <c r="C204" s="10">
        <v>2270</v>
      </c>
      <c r="D204" s="11">
        <v>10</v>
      </c>
      <c r="E204" s="11">
        <v>4</v>
      </c>
      <c r="F204" s="11">
        <v>10</v>
      </c>
      <c r="G204" s="11">
        <v>55</v>
      </c>
      <c r="H204" s="11"/>
      <c r="I204" s="10">
        <v>75</v>
      </c>
      <c r="J204" s="10"/>
      <c r="K204" s="10">
        <v>12</v>
      </c>
      <c r="L204" s="12">
        <v>10</v>
      </c>
      <c r="M204" s="13" t="s">
        <v>2109</v>
      </c>
      <c r="N204" s="13">
        <f t="shared" si="47"/>
        <v>192</v>
      </c>
      <c r="O204" s="13">
        <v>56</v>
      </c>
      <c r="P204" s="14">
        <v>30</v>
      </c>
      <c r="Q204" s="15">
        <f t="shared" si="43"/>
        <v>2292</v>
      </c>
      <c r="R204" s="16">
        <v>2395</v>
      </c>
      <c r="S204" s="17">
        <f t="shared" si="46"/>
        <v>2455</v>
      </c>
      <c r="T204" s="17">
        <f t="shared" si="48"/>
        <v>2460</v>
      </c>
      <c r="U204" s="17">
        <f t="shared" si="45"/>
        <v>2355</v>
      </c>
      <c r="V204" s="18">
        <v>16</v>
      </c>
      <c r="W204" s="18">
        <v>12</v>
      </c>
      <c r="X204" s="21">
        <v>15</v>
      </c>
    </row>
    <row r="205" spans="2:24" x14ac:dyDescent="0.45">
      <c r="B205" s="28">
        <v>203</v>
      </c>
      <c r="C205" s="10">
        <v>2280</v>
      </c>
      <c r="D205" s="11">
        <v>10</v>
      </c>
      <c r="E205" s="11">
        <v>4</v>
      </c>
      <c r="F205" s="11">
        <v>10</v>
      </c>
      <c r="G205" s="11">
        <v>55</v>
      </c>
      <c r="H205" s="11"/>
      <c r="I205" s="10">
        <v>75</v>
      </c>
      <c r="J205" s="10"/>
      <c r="K205" s="10">
        <v>12</v>
      </c>
      <c r="L205" s="12">
        <v>10</v>
      </c>
      <c r="M205" s="13" t="s">
        <v>2109</v>
      </c>
      <c r="N205" s="13">
        <f t="shared" si="47"/>
        <v>192</v>
      </c>
      <c r="O205" s="13">
        <v>56</v>
      </c>
      <c r="P205" s="14">
        <v>30</v>
      </c>
      <c r="Q205" s="15">
        <f t="shared" si="43"/>
        <v>2302</v>
      </c>
      <c r="R205" s="16">
        <v>2405</v>
      </c>
      <c r="S205" s="17">
        <f t="shared" si="46"/>
        <v>2465</v>
      </c>
      <c r="T205" s="17">
        <f t="shared" si="48"/>
        <v>2470</v>
      </c>
      <c r="U205" s="17">
        <f t="shared" si="45"/>
        <v>2365</v>
      </c>
      <c r="V205" s="18">
        <v>16</v>
      </c>
      <c r="W205" s="18">
        <v>12</v>
      </c>
      <c r="X205" s="21">
        <v>15</v>
      </c>
    </row>
    <row r="206" spans="2:24" x14ac:dyDescent="0.45">
      <c r="B206" s="27">
        <v>204</v>
      </c>
      <c r="C206" s="10">
        <v>2290</v>
      </c>
      <c r="D206" s="11">
        <v>10</v>
      </c>
      <c r="E206" s="11">
        <v>4</v>
      </c>
      <c r="F206" s="11">
        <v>10</v>
      </c>
      <c r="G206" s="11">
        <v>55</v>
      </c>
      <c r="H206" s="11"/>
      <c r="I206" s="10">
        <v>75</v>
      </c>
      <c r="J206" s="10"/>
      <c r="K206" s="10">
        <v>12</v>
      </c>
      <c r="L206" s="12">
        <v>10</v>
      </c>
      <c r="M206" s="13" t="s">
        <v>2109</v>
      </c>
      <c r="N206" s="13">
        <f t="shared" si="47"/>
        <v>192</v>
      </c>
      <c r="O206" s="13">
        <v>56</v>
      </c>
      <c r="P206" s="14">
        <v>30</v>
      </c>
      <c r="Q206" s="15">
        <f t="shared" si="43"/>
        <v>2312</v>
      </c>
      <c r="R206" s="16">
        <v>2415</v>
      </c>
      <c r="S206" s="17">
        <f t="shared" si="46"/>
        <v>2475</v>
      </c>
      <c r="T206" s="17">
        <f t="shared" si="48"/>
        <v>2480</v>
      </c>
      <c r="U206" s="17">
        <f t="shared" si="45"/>
        <v>2375</v>
      </c>
      <c r="V206" s="18">
        <v>16</v>
      </c>
      <c r="W206" s="18">
        <v>12</v>
      </c>
      <c r="X206" s="21">
        <v>15</v>
      </c>
    </row>
    <row r="207" spans="2:24" x14ac:dyDescent="0.45">
      <c r="B207" s="27">
        <v>205</v>
      </c>
      <c r="C207" s="10">
        <v>2300</v>
      </c>
      <c r="D207" s="11">
        <v>10</v>
      </c>
      <c r="E207" s="11">
        <v>4</v>
      </c>
      <c r="F207" s="11">
        <v>10</v>
      </c>
      <c r="G207" s="11">
        <v>55</v>
      </c>
      <c r="H207" s="11"/>
      <c r="I207" s="10">
        <v>75</v>
      </c>
      <c r="J207" s="10"/>
      <c r="K207" s="10">
        <v>12</v>
      </c>
      <c r="L207" s="12">
        <v>10</v>
      </c>
      <c r="M207" s="13" t="s">
        <v>2109</v>
      </c>
      <c r="N207" s="13">
        <f t="shared" si="47"/>
        <v>192</v>
      </c>
      <c r="O207" s="13">
        <v>56</v>
      </c>
      <c r="P207" s="14">
        <v>30</v>
      </c>
      <c r="Q207" s="15">
        <f t="shared" si="43"/>
        <v>2322</v>
      </c>
      <c r="R207" s="16">
        <v>2425</v>
      </c>
      <c r="S207" s="17">
        <f t="shared" si="46"/>
        <v>2485</v>
      </c>
      <c r="T207" s="17">
        <f t="shared" si="48"/>
        <v>2490</v>
      </c>
      <c r="U207" s="17">
        <f t="shared" si="45"/>
        <v>2385</v>
      </c>
      <c r="V207" s="18">
        <v>16</v>
      </c>
      <c r="W207" s="18">
        <v>12</v>
      </c>
      <c r="X207" s="21">
        <v>15</v>
      </c>
    </row>
    <row r="208" spans="2:24" x14ac:dyDescent="0.45">
      <c r="B208" s="28">
        <v>206</v>
      </c>
      <c r="C208" s="10">
        <v>2310</v>
      </c>
      <c r="D208" s="11">
        <v>10</v>
      </c>
      <c r="E208" s="11">
        <v>4</v>
      </c>
      <c r="F208" s="11">
        <v>10</v>
      </c>
      <c r="G208" s="11">
        <v>55</v>
      </c>
      <c r="H208" s="11"/>
      <c r="I208" s="10">
        <v>75</v>
      </c>
      <c r="J208" s="10"/>
      <c r="K208" s="10">
        <v>12</v>
      </c>
      <c r="L208" s="12">
        <v>10</v>
      </c>
      <c r="M208" s="13" t="s">
        <v>2109</v>
      </c>
      <c r="N208" s="13">
        <f t="shared" si="47"/>
        <v>192</v>
      </c>
      <c r="O208" s="13">
        <v>56</v>
      </c>
      <c r="P208" s="14">
        <v>30</v>
      </c>
      <c r="Q208" s="15">
        <f t="shared" si="43"/>
        <v>2332</v>
      </c>
      <c r="R208" s="16">
        <v>2435</v>
      </c>
      <c r="S208" s="17">
        <f t="shared" si="46"/>
        <v>2495</v>
      </c>
      <c r="T208" s="17">
        <f t="shared" si="48"/>
        <v>2500</v>
      </c>
      <c r="U208" s="17">
        <f t="shared" si="45"/>
        <v>2395</v>
      </c>
      <c r="V208" s="18">
        <v>16</v>
      </c>
      <c r="W208" s="18">
        <v>12</v>
      </c>
      <c r="X208" s="21">
        <v>15</v>
      </c>
    </row>
    <row r="209" spans="2:24" x14ac:dyDescent="0.45">
      <c r="B209" s="27">
        <v>207</v>
      </c>
      <c r="C209" s="10">
        <v>2320</v>
      </c>
      <c r="D209" s="11">
        <v>10</v>
      </c>
      <c r="E209" s="11">
        <v>4</v>
      </c>
      <c r="F209" s="11">
        <v>10</v>
      </c>
      <c r="G209" s="11">
        <v>55</v>
      </c>
      <c r="H209" s="11"/>
      <c r="I209" s="10">
        <v>75</v>
      </c>
      <c r="J209" s="10"/>
      <c r="K209" s="10">
        <v>12</v>
      </c>
      <c r="L209" s="12">
        <v>10</v>
      </c>
      <c r="M209" s="13" t="s">
        <v>2109</v>
      </c>
      <c r="N209" s="13">
        <f t="shared" si="47"/>
        <v>192</v>
      </c>
      <c r="O209" s="13">
        <v>56</v>
      </c>
      <c r="P209" s="14">
        <v>30</v>
      </c>
      <c r="Q209" s="15">
        <f t="shared" si="43"/>
        <v>2342</v>
      </c>
      <c r="R209" s="16">
        <v>2445</v>
      </c>
      <c r="S209" s="17">
        <f t="shared" si="46"/>
        <v>2505</v>
      </c>
      <c r="T209" s="17">
        <f t="shared" si="48"/>
        <v>2510</v>
      </c>
      <c r="U209" s="17">
        <f t="shared" si="45"/>
        <v>2405</v>
      </c>
      <c r="V209" s="18">
        <v>16</v>
      </c>
      <c r="W209" s="18">
        <v>12</v>
      </c>
      <c r="X209" s="21">
        <v>15</v>
      </c>
    </row>
    <row r="210" spans="2:24" x14ac:dyDescent="0.45">
      <c r="B210" s="28">
        <v>208</v>
      </c>
      <c r="C210" s="10">
        <v>2330</v>
      </c>
      <c r="D210" s="11">
        <v>10</v>
      </c>
      <c r="E210" s="11">
        <v>4</v>
      </c>
      <c r="F210" s="11">
        <v>10</v>
      </c>
      <c r="G210" s="11">
        <v>55</v>
      </c>
      <c r="H210" s="11"/>
      <c r="I210" s="10">
        <v>75</v>
      </c>
      <c r="J210" s="10"/>
      <c r="K210" s="10">
        <v>12</v>
      </c>
      <c r="L210" s="12">
        <v>10</v>
      </c>
      <c r="M210" s="13" t="s">
        <v>2109</v>
      </c>
      <c r="N210" s="13">
        <f t="shared" si="47"/>
        <v>192</v>
      </c>
      <c r="O210" s="13">
        <v>56</v>
      </c>
      <c r="P210" s="14">
        <v>30</v>
      </c>
      <c r="Q210" s="15">
        <f t="shared" si="43"/>
        <v>2352</v>
      </c>
      <c r="R210" s="16">
        <v>2455</v>
      </c>
      <c r="S210" s="17">
        <f t="shared" si="46"/>
        <v>2515</v>
      </c>
      <c r="T210" s="17">
        <f t="shared" si="48"/>
        <v>2520</v>
      </c>
      <c r="U210" s="17">
        <f>Q210+63</f>
        <v>2415</v>
      </c>
      <c r="V210" s="18">
        <v>16</v>
      </c>
      <c r="W210" s="18">
        <v>12</v>
      </c>
      <c r="X210" s="21">
        <v>15</v>
      </c>
    </row>
    <row r="211" spans="2:24" x14ac:dyDescent="0.45">
      <c r="B211" s="27">
        <v>209</v>
      </c>
      <c r="C211" s="10">
        <v>2340</v>
      </c>
      <c r="D211" s="11">
        <v>10</v>
      </c>
      <c r="E211" s="11">
        <v>4</v>
      </c>
      <c r="F211" s="11">
        <v>10</v>
      </c>
      <c r="G211" s="11">
        <v>55</v>
      </c>
      <c r="H211" s="11"/>
      <c r="I211" s="10">
        <v>75</v>
      </c>
      <c r="J211" s="10"/>
      <c r="K211" s="10">
        <v>12</v>
      </c>
      <c r="L211" s="12">
        <v>10</v>
      </c>
      <c r="M211" s="13" t="s">
        <v>2109</v>
      </c>
      <c r="N211" s="13">
        <f t="shared" si="47"/>
        <v>192</v>
      </c>
      <c r="O211" s="13">
        <v>56</v>
      </c>
      <c r="P211" s="14">
        <v>30</v>
      </c>
      <c r="Q211" s="15">
        <f t="shared" si="43"/>
        <v>2362</v>
      </c>
      <c r="R211" s="16">
        <v>2465</v>
      </c>
      <c r="S211" s="17">
        <f t="shared" si="46"/>
        <v>2525</v>
      </c>
      <c r="T211" s="17">
        <f t="shared" si="48"/>
        <v>2530</v>
      </c>
      <c r="U211" s="17">
        <f t="shared" si="45"/>
        <v>2425</v>
      </c>
      <c r="V211" s="18">
        <v>16</v>
      </c>
      <c r="W211" s="18">
        <v>12</v>
      </c>
      <c r="X211" s="21">
        <v>15</v>
      </c>
    </row>
    <row r="212" spans="2:24" x14ac:dyDescent="0.45">
      <c r="B212" s="27">
        <v>210</v>
      </c>
      <c r="C212" s="10">
        <v>2350</v>
      </c>
      <c r="D212" s="11">
        <v>10</v>
      </c>
      <c r="E212" s="11">
        <v>4</v>
      </c>
      <c r="F212" s="11">
        <v>10</v>
      </c>
      <c r="G212" s="11">
        <v>55</v>
      </c>
      <c r="H212" s="11"/>
      <c r="I212" s="10">
        <v>75</v>
      </c>
      <c r="J212" s="10"/>
      <c r="K212" s="10">
        <v>12</v>
      </c>
      <c r="L212" s="12">
        <v>10</v>
      </c>
      <c r="M212" s="13" t="s">
        <v>2109</v>
      </c>
      <c r="N212" s="13">
        <f t="shared" si="47"/>
        <v>192</v>
      </c>
      <c r="O212" s="13">
        <v>60</v>
      </c>
      <c r="P212" s="14">
        <v>30</v>
      </c>
      <c r="Q212" s="15">
        <f t="shared" si="43"/>
        <v>2372</v>
      </c>
      <c r="R212" s="16">
        <v>2475</v>
      </c>
      <c r="S212" s="17">
        <f t="shared" si="46"/>
        <v>2535</v>
      </c>
      <c r="T212" s="17">
        <f t="shared" si="48"/>
        <v>2540</v>
      </c>
      <c r="U212" s="17">
        <f t="shared" si="45"/>
        <v>2435</v>
      </c>
      <c r="V212" s="18">
        <v>16</v>
      </c>
      <c r="W212" s="18">
        <v>12</v>
      </c>
      <c r="X212" s="21">
        <v>15</v>
      </c>
    </row>
    <row r="213" spans="2:24" x14ac:dyDescent="0.45">
      <c r="B213" s="28">
        <v>211</v>
      </c>
      <c r="C213" s="10">
        <v>2360</v>
      </c>
      <c r="D213" s="11">
        <v>10</v>
      </c>
      <c r="E213" s="11">
        <v>4</v>
      </c>
      <c r="F213" s="11">
        <v>10</v>
      </c>
      <c r="G213" s="11">
        <v>55</v>
      </c>
      <c r="H213" s="11"/>
      <c r="I213" s="10">
        <v>75</v>
      </c>
      <c r="J213" s="10"/>
      <c r="K213" s="10">
        <v>12</v>
      </c>
      <c r="L213" s="12">
        <v>10</v>
      </c>
      <c r="M213" s="13" t="s">
        <v>2109</v>
      </c>
      <c r="N213" s="13">
        <f t="shared" si="47"/>
        <v>192</v>
      </c>
      <c r="O213" s="13">
        <v>60</v>
      </c>
      <c r="P213" s="14">
        <v>30</v>
      </c>
      <c r="Q213" s="15">
        <f t="shared" si="43"/>
        <v>2382</v>
      </c>
      <c r="R213" s="16">
        <v>2485</v>
      </c>
      <c r="S213" s="17">
        <f t="shared" si="46"/>
        <v>2545</v>
      </c>
      <c r="T213" s="17">
        <f t="shared" si="48"/>
        <v>2550</v>
      </c>
      <c r="U213" s="17">
        <f t="shared" si="45"/>
        <v>2445</v>
      </c>
      <c r="V213" s="18">
        <v>16</v>
      </c>
      <c r="W213" s="18">
        <v>12</v>
      </c>
      <c r="X213" s="21">
        <v>15</v>
      </c>
    </row>
    <row r="214" spans="2:24" x14ac:dyDescent="0.45">
      <c r="B214" s="27">
        <v>212</v>
      </c>
      <c r="C214" s="10">
        <v>2370</v>
      </c>
      <c r="D214" s="11">
        <v>10</v>
      </c>
      <c r="E214" s="11">
        <v>4</v>
      </c>
      <c r="F214" s="11">
        <v>10</v>
      </c>
      <c r="G214" s="11">
        <v>55</v>
      </c>
      <c r="H214" s="11"/>
      <c r="I214" s="10">
        <v>75</v>
      </c>
      <c r="J214" s="10"/>
      <c r="K214" s="10">
        <v>12</v>
      </c>
      <c r="L214" s="12">
        <v>10</v>
      </c>
      <c r="M214" s="13" t="s">
        <v>2109</v>
      </c>
      <c r="N214" s="13">
        <f t="shared" si="47"/>
        <v>192</v>
      </c>
      <c r="O214" s="13">
        <v>60</v>
      </c>
      <c r="P214" s="14">
        <v>30</v>
      </c>
      <c r="Q214" s="15">
        <f t="shared" si="43"/>
        <v>2392</v>
      </c>
      <c r="R214" s="16">
        <v>2495</v>
      </c>
      <c r="S214" s="17">
        <f t="shared" si="46"/>
        <v>2555</v>
      </c>
      <c r="T214" s="17">
        <f t="shared" si="48"/>
        <v>2560</v>
      </c>
      <c r="U214" s="17">
        <f t="shared" si="45"/>
        <v>2455</v>
      </c>
      <c r="V214" s="18">
        <v>16</v>
      </c>
      <c r="W214" s="18">
        <v>12</v>
      </c>
      <c r="X214" s="21">
        <v>15</v>
      </c>
    </row>
    <row r="215" spans="2:24" x14ac:dyDescent="0.45">
      <c r="B215" s="27">
        <v>213</v>
      </c>
      <c r="C215" s="10">
        <v>2380</v>
      </c>
      <c r="D215" s="11">
        <v>10</v>
      </c>
      <c r="E215" s="11">
        <v>4</v>
      </c>
      <c r="F215" s="11">
        <v>10</v>
      </c>
      <c r="G215" s="11">
        <v>55</v>
      </c>
      <c r="H215" s="11"/>
      <c r="I215" s="10">
        <v>75</v>
      </c>
      <c r="J215" s="10"/>
      <c r="K215" s="10">
        <v>12</v>
      </c>
      <c r="L215" s="12">
        <v>10</v>
      </c>
      <c r="M215" s="13" t="s">
        <v>2109</v>
      </c>
      <c r="N215" s="13">
        <f t="shared" si="47"/>
        <v>192</v>
      </c>
      <c r="O215" s="13">
        <v>60</v>
      </c>
      <c r="P215" s="14">
        <v>30</v>
      </c>
      <c r="Q215" s="15">
        <f t="shared" si="43"/>
        <v>2402</v>
      </c>
      <c r="R215" s="16">
        <v>2505</v>
      </c>
      <c r="S215" s="17">
        <f t="shared" si="46"/>
        <v>2565</v>
      </c>
      <c r="T215" s="17">
        <f t="shared" si="48"/>
        <v>2570</v>
      </c>
      <c r="U215" s="17">
        <f t="shared" si="45"/>
        <v>2465</v>
      </c>
      <c r="V215" s="18">
        <v>16</v>
      </c>
      <c r="W215" s="18">
        <v>12</v>
      </c>
      <c r="X215" s="21">
        <v>15</v>
      </c>
    </row>
    <row r="216" spans="2:24" x14ac:dyDescent="0.45">
      <c r="B216" s="28">
        <v>214</v>
      </c>
      <c r="C216" s="10">
        <v>2390</v>
      </c>
      <c r="D216" s="11">
        <v>10</v>
      </c>
      <c r="E216" s="11">
        <v>4</v>
      </c>
      <c r="F216" s="11">
        <v>10</v>
      </c>
      <c r="G216" s="11">
        <v>55</v>
      </c>
      <c r="H216" s="11"/>
      <c r="I216" s="10">
        <v>75</v>
      </c>
      <c r="J216" s="10"/>
      <c r="K216" s="10">
        <v>12</v>
      </c>
      <c r="L216" s="12">
        <v>10</v>
      </c>
      <c r="M216" s="13" t="s">
        <v>2109</v>
      </c>
      <c r="N216" s="13">
        <f t="shared" si="47"/>
        <v>192</v>
      </c>
      <c r="O216" s="13">
        <v>60</v>
      </c>
      <c r="P216" s="14">
        <v>30</v>
      </c>
      <c r="Q216" s="15">
        <f t="shared" si="43"/>
        <v>2412</v>
      </c>
      <c r="R216" s="16">
        <v>2515</v>
      </c>
      <c r="S216" s="17">
        <f t="shared" si="46"/>
        <v>2575</v>
      </c>
      <c r="T216" s="17">
        <f t="shared" si="48"/>
        <v>2580</v>
      </c>
      <c r="U216" s="17">
        <f t="shared" si="45"/>
        <v>2475</v>
      </c>
      <c r="V216" s="18">
        <v>16</v>
      </c>
      <c r="W216" s="18">
        <v>12</v>
      </c>
      <c r="X216" s="21">
        <v>15</v>
      </c>
    </row>
    <row r="217" spans="2:24" x14ac:dyDescent="0.45">
      <c r="B217" s="27">
        <v>215</v>
      </c>
      <c r="C217" s="10">
        <v>2400</v>
      </c>
      <c r="D217" s="11">
        <v>10</v>
      </c>
      <c r="E217" s="11">
        <v>4</v>
      </c>
      <c r="F217" s="11">
        <v>10</v>
      </c>
      <c r="G217" s="11">
        <v>55</v>
      </c>
      <c r="H217" s="11"/>
      <c r="I217" s="10">
        <v>75</v>
      </c>
      <c r="J217" s="10"/>
      <c r="K217" s="10">
        <v>12</v>
      </c>
      <c r="L217" s="12">
        <v>10</v>
      </c>
      <c r="M217" s="13" t="s">
        <v>2109</v>
      </c>
      <c r="N217" s="13">
        <f t="shared" si="47"/>
        <v>192</v>
      </c>
      <c r="O217" s="13">
        <v>60</v>
      </c>
      <c r="P217" s="14">
        <v>30</v>
      </c>
      <c r="Q217" s="15">
        <f t="shared" si="43"/>
        <v>2422</v>
      </c>
      <c r="R217" s="16">
        <v>2525</v>
      </c>
      <c r="S217" s="17">
        <f t="shared" si="46"/>
        <v>2585</v>
      </c>
      <c r="T217" s="17">
        <f t="shared" si="48"/>
        <v>2590</v>
      </c>
      <c r="U217" s="17">
        <f>Q217+63</f>
        <v>2485</v>
      </c>
      <c r="V217" s="18">
        <v>16</v>
      </c>
      <c r="W217" s="18">
        <v>12</v>
      </c>
      <c r="X217" s="21">
        <v>15</v>
      </c>
    </row>
    <row r="218" spans="2:24" x14ac:dyDescent="0.45">
      <c r="B218" s="27">
        <v>216</v>
      </c>
      <c r="C218" s="10">
        <v>2410</v>
      </c>
      <c r="D218" s="11">
        <v>10</v>
      </c>
      <c r="E218" s="11">
        <v>4</v>
      </c>
      <c r="F218" s="11">
        <v>10</v>
      </c>
      <c r="G218" s="11">
        <v>55</v>
      </c>
      <c r="H218" s="11"/>
      <c r="I218" s="10">
        <v>75</v>
      </c>
      <c r="J218" s="10"/>
      <c r="K218" s="10">
        <v>12</v>
      </c>
      <c r="L218" s="12">
        <v>10</v>
      </c>
      <c r="M218" s="13" t="s">
        <v>2109</v>
      </c>
      <c r="N218" s="13">
        <f t="shared" si="47"/>
        <v>192</v>
      </c>
      <c r="O218" s="13">
        <v>60</v>
      </c>
      <c r="P218" s="14">
        <v>30</v>
      </c>
      <c r="Q218" s="15">
        <f t="shared" si="43"/>
        <v>2432</v>
      </c>
      <c r="R218" s="16">
        <v>2535</v>
      </c>
      <c r="S218" s="17">
        <f t="shared" si="46"/>
        <v>2595</v>
      </c>
      <c r="T218" s="17">
        <f t="shared" si="48"/>
        <v>2600</v>
      </c>
      <c r="U218" s="17">
        <f t="shared" si="45"/>
        <v>2495</v>
      </c>
      <c r="V218" s="18">
        <v>16</v>
      </c>
      <c r="W218" s="18">
        <v>12</v>
      </c>
      <c r="X218" s="21">
        <v>15</v>
      </c>
    </row>
    <row r="219" spans="2:24" x14ac:dyDescent="0.45">
      <c r="B219" s="28">
        <v>217</v>
      </c>
      <c r="C219" s="10">
        <v>2420</v>
      </c>
      <c r="D219" s="11">
        <v>10</v>
      </c>
      <c r="E219" s="11">
        <v>4</v>
      </c>
      <c r="F219" s="11">
        <v>10</v>
      </c>
      <c r="G219" s="11">
        <v>55</v>
      </c>
      <c r="H219" s="11"/>
      <c r="I219" s="10">
        <v>75</v>
      </c>
      <c r="J219" s="10"/>
      <c r="K219" s="10">
        <v>12</v>
      </c>
      <c r="L219" s="12">
        <v>10</v>
      </c>
      <c r="M219" s="13" t="s">
        <v>2109</v>
      </c>
      <c r="N219" s="13">
        <f t="shared" si="47"/>
        <v>192</v>
      </c>
      <c r="O219" s="13">
        <v>60</v>
      </c>
      <c r="P219" s="14">
        <v>30</v>
      </c>
      <c r="Q219" s="15">
        <f t="shared" si="43"/>
        <v>2442</v>
      </c>
      <c r="R219" s="16">
        <v>2545</v>
      </c>
      <c r="S219" s="17">
        <f t="shared" si="46"/>
        <v>2605</v>
      </c>
      <c r="T219" s="17">
        <f t="shared" si="48"/>
        <v>2610</v>
      </c>
      <c r="U219" s="17">
        <f t="shared" si="45"/>
        <v>2505</v>
      </c>
      <c r="V219" s="18">
        <v>16</v>
      </c>
      <c r="W219" s="18">
        <v>12</v>
      </c>
      <c r="X219" s="21">
        <v>15</v>
      </c>
    </row>
    <row r="220" spans="2:24" x14ac:dyDescent="0.45">
      <c r="B220" s="27">
        <v>218</v>
      </c>
      <c r="C220" s="10">
        <v>2430</v>
      </c>
      <c r="D220" s="11">
        <v>10</v>
      </c>
      <c r="E220" s="11">
        <v>4</v>
      </c>
      <c r="F220" s="11">
        <v>10</v>
      </c>
      <c r="G220" s="11">
        <v>55</v>
      </c>
      <c r="H220" s="11"/>
      <c r="I220" s="10">
        <v>75</v>
      </c>
      <c r="J220" s="10"/>
      <c r="K220" s="10">
        <v>12</v>
      </c>
      <c r="L220" s="12">
        <v>10</v>
      </c>
      <c r="M220" s="13" t="s">
        <v>2109</v>
      </c>
      <c r="N220" s="13">
        <f t="shared" si="47"/>
        <v>192</v>
      </c>
      <c r="O220" s="13">
        <v>60</v>
      </c>
      <c r="P220" s="14">
        <v>30</v>
      </c>
      <c r="Q220" s="15">
        <f t="shared" si="43"/>
        <v>2452</v>
      </c>
      <c r="R220" s="16">
        <v>2555</v>
      </c>
      <c r="S220" s="17">
        <f t="shared" si="46"/>
        <v>2615</v>
      </c>
      <c r="T220" s="17">
        <f t="shared" si="48"/>
        <v>2620</v>
      </c>
      <c r="U220" s="17">
        <f t="shared" si="45"/>
        <v>2515</v>
      </c>
      <c r="V220" s="18">
        <v>16</v>
      </c>
      <c r="W220" s="18">
        <v>12</v>
      </c>
      <c r="X220" s="21">
        <v>15</v>
      </c>
    </row>
    <row r="221" spans="2:24" x14ac:dyDescent="0.45">
      <c r="B221" s="27">
        <v>219</v>
      </c>
      <c r="C221" s="10">
        <v>2440</v>
      </c>
      <c r="D221" s="11">
        <v>10</v>
      </c>
      <c r="E221" s="11">
        <v>4</v>
      </c>
      <c r="F221" s="11">
        <v>10</v>
      </c>
      <c r="G221" s="11">
        <v>55</v>
      </c>
      <c r="H221" s="11"/>
      <c r="I221" s="10">
        <v>75</v>
      </c>
      <c r="J221" s="10"/>
      <c r="K221" s="10">
        <v>12</v>
      </c>
      <c r="L221" s="12">
        <v>10</v>
      </c>
      <c r="M221" s="13" t="s">
        <v>2109</v>
      </c>
      <c r="N221" s="13">
        <f t="shared" si="47"/>
        <v>192</v>
      </c>
      <c r="O221" s="13">
        <v>60</v>
      </c>
      <c r="P221" s="14">
        <v>30</v>
      </c>
      <c r="Q221" s="15">
        <f t="shared" si="43"/>
        <v>2462</v>
      </c>
      <c r="R221" s="16">
        <v>2565</v>
      </c>
      <c r="S221" s="17">
        <f t="shared" si="46"/>
        <v>2625</v>
      </c>
      <c r="T221" s="17">
        <f t="shared" si="48"/>
        <v>2630</v>
      </c>
      <c r="U221" s="17">
        <f t="shared" si="45"/>
        <v>2525</v>
      </c>
      <c r="V221" s="18">
        <v>16</v>
      </c>
      <c r="W221" s="18">
        <v>12</v>
      </c>
      <c r="X221" s="21">
        <v>15</v>
      </c>
    </row>
    <row r="222" spans="2:24" x14ac:dyDescent="0.45">
      <c r="B222" s="28">
        <v>220</v>
      </c>
      <c r="C222" s="10">
        <v>2450</v>
      </c>
      <c r="D222" s="11">
        <v>10</v>
      </c>
      <c r="E222" s="11">
        <v>4</v>
      </c>
      <c r="F222" s="11">
        <v>10</v>
      </c>
      <c r="G222" s="11">
        <v>55</v>
      </c>
      <c r="H222" s="11"/>
      <c r="I222" s="10">
        <v>75</v>
      </c>
      <c r="J222" s="10"/>
      <c r="K222" s="10">
        <v>12</v>
      </c>
      <c r="L222" s="12">
        <v>10</v>
      </c>
      <c r="M222" s="13" t="s">
        <v>2109</v>
      </c>
      <c r="N222" s="13">
        <f t="shared" si="47"/>
        <v>192</v>
      </c>
      <c r="O222" s="13">
        <v>60</v>
      </c>
      <c r="P222" s="14">
        <v>30</v>
      </c>
      <c r="Q222" s="15">
        <f t="shared" si="43"/>
        <v>2472</v>
      </c>
      <c r="R222" s="16">
        <v>2575</v>
      </c>
      <c r="S222" s="17">
        <f t="shared" si="46"/>
        <v>2635</v>
      </c>
      <c r="T222" s="17">
        <f t="shared" si="48"/>
        <v>2640</v>
      </c>
      <c r="U222" s="17">
        <f t="shared" si="45"/>
        <v>2535</v>
      </c>
      <c r="V222" s="18">
        <v>16</v>
      </c>
      <c r="W222" s="18">
        <v>12</v>
      </c>
      <c r="X222" s="21">
        <v>15</v>
      </c>
    </row>
    <row r="223" spans="2:24" x14ac:dyDescent="0.45">
      <c r="B223" s="27">
        <v>221</v>
      </c>
      <c r="C223" s="10">
        <v>2460</v>
      </c>
      <c r="D223" s="11">
        <v>10</v>
      </c>
      <c r="E223" s="11">
        <v>4</v>
      </c>
      <c r="F223" s="11">
        <v>10</v>
      </c>
      <c r="G223" s="11">
        <v>55</v>
      </c>
      <c r="H223" s="11"/>
      <c r="I223" s="10">
        <v>75</v>
      </c>
      <c r="J223" s="10"/>
      <c r="K223" s="10">
        <v>12</v>
      </c>
      <c r="L223" s="12">
        <v>10</v>
      </c>
      <c r="M223" s="13" t="s">
        <v>2109</v>
      </c>
      <c r="N223" s="13">
        <f t="shared" si="47"/>
        <v>192</v>
      </c>
      <c r="O223" s="13">
        <v>60</v>
      </c>
      <c r="P223" s="14">
        <v>30</v>
      </c>
      <c r="Q223" s="15">
        <f t="shared" si="43"/>
        <v>2482</v>
      </c>
      <c r="R223" s="16">
        <v>2585</v>
      </c>
      <c r="S223" s="17">
        <f t="shared" si="46"/>
        <v>2645</v>
      </c>
      <c r="T223" s="17">
        <f t="shared" si="48"/>
        <v>2650</v>
      </c>
      <c r="U223" s="17">
        <f t="shared" si="45"/>
        <v>2545</v>
      </c>
      <c r="V223" s="18">
        <v>16</v>
      </c>
      <c r="W223" s="18">
        <v>12</v>
      </c>
      <c r="X223" s="21">
        <v>15</v>
      </c>
    </row>
    <row r="224" spans="2:24" x14ac:dyDescent="0.45">
      <c r="B224" s="27">
        <v>222</v>
      </c>
      <c r="C224" s="10">
        <v>2470</v>
      </c>
      <c r="D224" s="11">
        <v>10</v>
      </c>
      <c r="E224" s="11">
        <v>4</v>
      </c>
      <c r="F224" s="11">
        <v>10</v>
      </c>
      <c r="G224" s="11">
        <v>55</v>
      </c>
      <c r="H224" s="11"/>
      <c r="I224" s="10">
        <v>75</v>
      </c>
      <c r="J224" s="10"/>
      <c r="K224" s="10">
        <v>12</v>
      </c>
      <c r="L224" s="12">
        <v>10</v>
      </c>
      <c r="M224" s="13" t="s">
        <v>2109</v>
      </c>
      <c r="N224" s="13">
        <f t="shared" si="47"/>
        <v>192</v>
      </c>
      <c r="O224" s="13">
        <v>60</v>
      </c>
      <c r="P224" s="14">
        <v>30</v>
      </c>
      <c r="Q224" s="15">
        <f t="shared" si="43"/>
        <v>2492</v>
      </c>
      <c r="R224" s="16">
        <v>2595</v>
      </c>
      <c r="S224" s="17">
        <f t="shared" si="46"/>
        <v>2655</v>
      </c>
      <c r="T224" s="17">
        <f t="shared" si="48"/>
        <v>2660</v>
      </c>
      <c r="U224" s="17">
        <f t="shared" si="45"/>
        <v>2555</v>
      </c>
      <c r="V224" s="18">
        <v>16</v>
      </c>
      <c r="W224" s="18">
        <v>12</v>
      </c>
      <c r="X224" s="21">
        <v>15</v>
      </c>
    </row>
    <row r="225" spans="2:24" x14ac:dyDescent="0.45">
      <c r="B225" s="28">
        <v>223</v>
      </c>
      <c r="C225" s="10">
        <v>2480</v>
      </c>
      <c r="D225" s="11">
        <v>10</v>
      </c>
      <c r="E225" s="11">
        <v>4</v>
      </c>
      <c r="F225" s="11">
        <v>10</v>
      </c>
      <c r="G225" s="11">
        <v>55</v>
      </c>
      <c r="H225" s="11"/>
      <c r="I225" s="10">
        <v>75</v>
      </c>
      <c r="J225" s="10"/>
      <c r="K225" s="10">
        <v>12</v>
      </c>
      <c r="L225" s="12">
        <v>10</v>
      </c>
      <c r="M225" s="13" t="s">
        <v>2109</v>
      </c>
      <c r="N225" s="13">
        <f t="shared" si="47"/>
        <v>192</v>
      </c>
      <c r="O225" s="13">
        <v>60</v>
      </c>
      <c r="P225" s="14">
        <v>30</v>
      </c>
      <c r="Q225" s="15">
        <f t="shared" si="43"/>
        <v>2502</v>
      </c>
      <c r="R225" s="16">
        <v>2605</v>
      </c>
      <c r="S225" s="17">
        <f t="shared" si="46"/>
        <v>2665</v>
      </c>
      <c r="T225" s="17">
        <f t="shared" si="48"/>
        <v>2670</v>
      </c>
      <c r="U225" s="17">
        <f>Q225+63</f>
        <v>2565</v>
      </c>
      <c r="V225" s="18">
        <v>16</v>
      </c>
      <c r="W225" s="18">
        <v>12</v>
      </c>
      <c r="X225" s="21">
        <v>15</v>
      </c>
    </row>
    <row r="226" spans="2:24" x14ac:dyDescent="0.45">
      <c r="B226" s="27">
        <v>224</v>
      </c>
      <c r="C226" s="10">
        <v>2490</v>
      </c>
      <c r="D226" s="11">
        <v>10</v>
      </c>
      <c r="E226" s="11">
        <v>4</v>
      </c>
      <c r="F226" s="11">
        <v>10</v>
      </c>
      <c r="G226" s="11">
        <v>55</v>
      </c>
      <c r="H226" s="11"/>
      <c r="I226" s="10">
        <v>75</v>
      </c>
      <c r="J226" s="10"/>
      <c r="K226" s="10">
        <v>12</v>
      </c>
      <c r="L226" s="12">
        <v>10</v>
      </c>
      <c r="M226" s="13" t="s">
        <v>2109</v>
      </c>
      <c r="N226" s="13">
        <f t="shared" si="47"/>
        <v>192</v>
      </c>
      <c r="O226" s="13">
        <v>60</v>
      </c>
      <c r="P226" s="14">
        <v>30</v>
      </c>
      <c r="Q226" s="15">
        <f t="shared" si="43"/>
        <v>2512</v>
      </c>
      <c r="R226" s="16">
        <v>2615</v>
      </c>
      <c r="S226" s="17">
        <f t="shared" si="46"/>
        <v>2675</v>
      </c>
      <c r="T226" s="17">
        <f t="shared" si="48"/>
        <v>2680</v>
      </c>
      <c r="U226" s="17">
        <f t="shared" si="45"/>
        <v>2575</v>
      </c>
      <c r="V226" s="18">
        <v>16</v>
      </c>
      <c r="W226" s="18">
        <v>12</v>
      </c>
      <c r="X226" s="21">
        <v>15</v>
      </c>
    </row>
    <row r="227" spans="2:24" x14ac:dyDescent="0.45">
      <c r="B227" s="27">
        <v>225</v>
      </c>
      <c r="C227" s="10">
        <v>2500</v>
      </c>
      <c r="D227" s="11">
        <v>10</v>
      </c>
      <c r="E227" s="11">
        <v>4</v>
      </c>
      <c r="F227" s="11">
        <v>10</v>
      </c>
      <c r="G227" s="11">
        <v>55</v>
      </c>
      <c r="H227" s="11"/>
      <c r="I227" s="10">
        <v>75</v>
      </c>
      <c r="J227" s="10"/>
      <c r="K227" s="10">
        <v>12</v>
      </c>
      <c r="L227" s="12">
        <v>10</v>
      </c>
      <c r="M227" s="13" t="s">
        <v>2109</v>
      </c>
      <c r="N227" s="13">
        <f t="shared" si="47"/>
        <v>192</v>
      </c>
      <c r="O227" s="13">
        <v>60</v>
      </c>
      <c r="P227" s="14">
        <v>30</v>
      </c>
      <c r="Q227" s="15">
        <f t="shared" si="43"/>
        <v>2522</v>
      </c>
      <c r="R227" s="16">
        <v>2625</v>
      </c>
      <c r="S227" s="17">
        <f t="shared" si="46"/>
        <v>2685</v>
      </c>
      <c r="T227" s="17">
        <f t="shared" si="48"/>
        <v>2690</v>
      </c>
      <c r="U227" s="17">
        <f t="shared" si="45"/>
        <v>2585</v>
      </c>
      <c r="V227" s="18">
        <v>16</v>
      </c>
      <c r="W227" s="18">
        <v>12</v>
      </c>
      <c r="X227" s="21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B8AD-B821-41B5-AB35-7F3EE6C9B368}">
  <dimension ref="D5:F5"/>
  <sheetViews>
    <sheetView tabSelected="1" workbookViewId="0">
      <selection activeCell="F6" sqref="F6"/>
    </sheetView>
  </sheetViews>
  <sheetFormatPr defaultRowHeight="14.25" x14ac:dyDescent="0.45"/>
  <sheetData>
    <row r="5" spans="4:6" x14ac:dyDescent="0.45">
      <c r="D5" t="s">
        <v>2110</v>
      </c>
      <c r="F5" t="s">
        <v>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All_Location_Details</vt:lpstr>
      <vt:lpstr>Condenser+Cooler (1 Pass)</vt:lpstr>
      <vt:lpstr>Condenser (2 &amp; 4 Pass)</vt:lpstr>
      <vt:lpstr>Reboiler-NEN</vt:lpstr>
      <vt:lpstr>Reboiler + Cooler</vt:lpstr>
      <vt:lpstr>Super-Heater</vt:lpstr>
      <vt:lpstr>Forced Evaporator </vt:lpstr>
      <vt:lpstr>FF Evaporator</vt:lpstr>
      <vt:lpstr>Column Grid Tray</vt:lpstr>
      <vt:lpstr>Heat Exchanger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PARTH NIKAM</cp:lastModifiedBy>
  <cp:revision/>
  <dcterms:created xsi:type="dcterms:W3CDTF">2024-11-19T08:30:09Z</dcterms:created>
  <dcterms:modified xsi:type="dcterms:W3CDTF">2026-07-01T10:03:18Z</dcterms:modified>
  <cp:category/>
  <cp:contentStatus/>
</cp:coreProperties>
</file>